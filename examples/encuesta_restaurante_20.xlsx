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_Encuesta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Modelo_CB" sheetId="3" state="visible" r:id="rId3"/>
    <sheet xmlns:r="http://schemas.openxmlformats.org/officeDocument/2006/relationships" name="Sistema_SmartPLS" sheetId="4" state="visible" r:id="rId4"/>
    <sheet xmlns:r="http://schemas.openxmlformats.org/officeDocument/2006/relationships" name="Modelo_PLS" sheetId="5" state="visible" r:id="rId5"/>
    <sheet xmlns:r="http://schemas.openxmlformats.org/officeDocument/2006/relationships" name="Hipotesis" sheetId="6" state="visible" r:id="rId6"/>
    <sheet xmlns:r="http://schemas.openxmlformats.org/officeDocument/2006/relationships" name="Indicadores" sheetId="7" state="visible" r:id="rId7"/>
    <sheet xmlns:r="http://schemas.openxmlformats.org/officeDocument/2006/relationships" name="Tipos_Variables" sheetId="8" state="visible" r:id="rId8"/>
    <sheet xmlns:r="http://schemas.openxmlformats.org/officeDocument/2006/relationships" name="Diagrama_SEM" sheetId="9" state="visible" r:id="rId9"/>
    <sheet xmlns:r="http://schemas.openxmlformats.org/officeDocument/2006/relationships" name="Resumen_Diagrama" sheetId="10" state="visible" r:id="rId10"/>
    <sheet xmlns:r="http://schemas.openxmlformats.org/officeDocument/2006/relationships" name="Reglas_Parametros" sheetId="11" state="visible" r:id="rId11"/>
    <sheet xmlns:r="http://schemas.openxmlformats.org/officeDocument/2006/relationships" name="Checklist_Identificacion" sheetId="12" state="visible" r:id="rId12"/>
    <sheet xmlns:r="http://schemas.openxmlformats.org/officeDocument/2006/relationships" name="Ejemplo_Matriz_2x2" sheetId="13" state="visible" r:id="rId13"/>
    <sheet xmlns:r="http://schemas.openxmlformats.org/officeDocument/2006/relationships" name="Hipotesis_V1_V2" sheetId="14" state="visible" r:id="rId14"/>
    <sheet xmlns:r="http://schemas.openxmlformats.org/officeDocument/2006/relationships" name="Logica_Ajuste_Modelo" sheetId="15" state="visible" r:id="rId15"/>
    <sheet xmlns:r="http://schemas.openxmlformats.org/officeDocument/2006/relationships" name="CFA_1_Factor_4_Items" sheetId="16" state="visible" r:id="rId16"/>
    <sheet xmlns:r="http://schemas.openxmlformats.org/officeDocument/2006/relationships" name="Sistema_3_Ecuaciones" sheetId="17" state="visible" r:id="rId17"/>
    <sheet xmlns:r="http://schemas.openxmlformats.org/officeDocument/2006/relationships" name="Grados_Libertad" sheetId="18" state="visible" r:id="rId18"/>
    <sheet xmlns:r="http://schemas.openxmlformats.org/officeDocument/2006/relationships" name="Curso_Frederic_SEM" sheetId="19" state="visible" r:id="rId19"/>
    <sheet xmlns:r="http://schemas.openxmlformats.org/officeDocument/2006/relationships" name="Leyes_Covarianzas" sheetId="20" state="visible" r:id="rId20"/>
    <sheet xmlns:r="http://schemas.openxmlformats.org/officeDocument/2006/relationships" name="Identificacion_Modelo" sheetId="21" state="visible" r:id="rId21"/>
    <sheet xmlns:r="http://schemas.openxmlformats.org/officeDocument/2006/relationships" name="Modelo_UIC_F1_F2" sheetId="22" state="visible" r:id="rId22"/>
    <sheet xmlns:r="http://schemas.openxmlformats.org/officeDocument/2006/relationships" name="Logica_Chi_Cuadrado" sheetId="23" state="visible" r:id="rId23"/>
    <sheet xmlns:r="http://schemas.openxmlformats.org/officeDocument/2006/relationships" name="EQS_vs_SmartPLS" sheetId="24" state="visible" r:id="rId24"/>
    <sheet xmlns:r="http://schemas.openxmlformats.org/officeDocument/2006/relationships" name="Criterios_Modernos_SEM" sheetId="25" state="visible" r:id="rId25"/>
    <sheet xmlns:r="http://schemas.openxmlformats.org/officeDocument/2006/relationships" name="Enfoque_Moderno_CB_PLS" sheetId="26" state="visible" r:id="rId26"/>
    <sheet xmlns:r="http://schemas.openxmlformats.org/officeDocument/2006/relationships" name="Nota_Muestra" sheetId="27" state="visible" r:id="rId27"/>
    <sheet xmlns:r="http://schemas.openxmlformats.org/officeDocument/2006/relationships" name="Config" sheetId="28" state="visible" r:id="rId28"/>
    <sheet xmlns:r="http://schemas.openxmlformats.org/officeDocument/2006/relationships" name="Descriptivos" sheetId="29" state="visible" r:id="rId29"/>
    <sheet xmlns:r="http://schemas.openxmlformats.org/officeDocument/2006/relationships" name="Matriz_Covarianzas" sheetId="30" state="visible" r:id="rId30"/>
    <sheet xmlns:r="http://schemas.openxmlformats.org/officeDocument/2006/relationships" name="Covarianzas_Pares" sheetId="31" state="visible" r:id="rId31"/>
    <sheet xmlns:r="http://schemas.openxmlformats.org/officeDocument/2006/relationships" name="Matriz_Correlaciones" sheetId="32" state="visible" r:id="rId32"/>
    <sheet xmlns:r="http://schemas.openxmlformats.org/officeDocument/2006/relationships" name="Medias" sheetId="33" state="visible" r:id="rId33"/>
    <sheet xmlns:r="http://schemas.openxmlformats.org/officeDocument/2006/relationships" name="Info_Descriptivos" sheetId="34" state="visible" r:id="rId34"/>
    <sheet xmlns:r="http://schemas.openxmlformats.org/officeDocument/2006/relationships" name="Fit_Indices" sheetId="35" state="visible" r:id="rId35"/>
    <sheet xmlns:r="http://schemas.openxmlformats.org/officeDocument/2006/relationships" name="Criterios_Ajuste" sheetId="36" state="visible" r:id="rId36"/>
    <sheet xmlns:r="http://schemas.openxmlformats.org/officeDocument/2006/relationships" name="Criterios_Ajuste_Modernos" sheetId="37" state="visible" r:id="rId37"/>
    <sheet xmlns:r="http://schemas.openxmlformats.org/officeDocument/2006/relationships" name="Informe_Ajuste_EQS" sheetId="38" state="visible" r:id="rId38"/>
    <sheet xmlns:r="http://schemas.openxmlformats.org/officeDocument/2006/relationships" name="Paths_Estandarizados" sheetId="39" state="visible" r:id="rId39"/>
    <sheet xmlns:r="http://schemas.openxmlformats.org/officeDocument/2006/relationships" name="Paths_NoEstandarizados" sheetId="40" state="visible" r:id="rId40"/>
    <sheet xmlns:r="http://schemas.openxmlformats.org/officeDocument/2006/relationships" name="Loadings" sheetId="41" state="visible" r:id="rId41"/>
    <sheet xmlns:r="http://schemas.openxmlformats.org/officeDocument/2006/relationships" name="Warnings" sheetId="42" state="visible" r:id="rId42"/>
    <sheet xmlns:r="http://schemas.openxmlformats.org/officeDocument/2006/relationships" name="Matriz_Observada_DATA" sheetId="43" state="visible" r:id="rId43"/>
    <sheet xmlns:r="http://schemas.openxmlformats.org/officeDocument/2006/relationships" name="Matriz_Implicita_MODEL" sheetId="44" state="visible" r:id="rId44"/>
    <sheet xmlns:r="http://schemas.openxmlformats.org/officeDocument/2006/relationships" name="Matriz_Residual" sheetId="45" state="visible" r:id="rId45"/>
    <sheet xmlns:r="http://schemas.openxmlformats.org/officeDocument/2006/relationships" name="Residuales_Pares" sheetId="46" state="visible" r:id="rId46"/>
    <sheet xmlns:r="http://schemas.openxmlformats.org/officeDocument/2006/relationships" name="Resumen_DATA_MODEL_RESIDUAL" sheetId="47" state="visible" r:id="rId47"/>
    <sheet xmlns:r="http://schemas.openxmlformats.org/officeDocument/2006/relationships" name="Ecuaciones_Structurales" sheetId="48" state="visible" r:id="rId48"/>
    <sheet xmlns:r="http://schemas.openxmlformats.org/officeDocument/2006/relationships" name="Regresion_Structural" sheetId="49" state="visible" r:id="rId49"/>
    <sheet xmlns:r="http://schemas.openxmlformats.org/officeDocument/2006/relationships" name="Hipotesis_Covarianzas" sheetId="50" state="visible" r:id="rId50"/>
    <sheet xmlns:r="http://schemas.openxmlformats.org/officeDocument/2006/relationships" name="Matriz_Sigma_Teoria" sheetId="51" state="visible" r:id="rId51"/>
    <sheet xmlns:r="http://schemas.openxmlformats.org/officeDocument/2006/relationships" name="Sigma_Teoria_Nota" sheetId="52" state="visible" r:id="rId52"/>
    <sheet xmlns:r="http://schemas.openxmlformats.org/officeDocument/2006/relationships" name="Sistema_6_Ecuaciones" sheetId="53" state="visible" r:id="rId53"/>
    <sheet xmlns:r="http://schemas.openxmlformats.org/officeDocument/2006/relationships" name="Identificacion_3_Items_1_Factor" sheetId="54" state="visible" r:id="rId54"/>
    <sheet xmlns:r="http://schemas.openxmlformats.org/officeDocument/2006/relationships" name="Ecuaciones_Varianzas" sheetId="55" state="visible" r:id="rId55"/>
    <sheet xmlns:r="http://schemas.openxmlformats.org/officeDocument/2006/relationships" name="Ecuaciones_Covarianzas" sheetId="56" state="visible" r:id="rId56"/>
    <sheet xmlns:r="http://schemas.openxmlformats.org/officeDocument/2006/relationships" name="Comparacion_semopy" sheetId="57" state="visible" r:id="rId57"/>
    <sheet xmlns:r="http://schemas.openxmlformats.org/officeDocument/2006/relationships" name="Errores_Medicion" sheetId="58" state="visible" r:id="rId58"/>
    <sheet xmlns:r="http://schemas.openxmlformats.org/officeDocument/2006/relationships" name="Errores_Estructurales" sheetId="59" state="visible" r:id="rId59"/>
    <sheet xmlns:r="http://schemas.openxmlformats.org/officeDocument/2006/relationships" name="Parametros_Modelo" sheetId="60" state="visible" r:id="rId60"/>
    <sheet xmlns:r="http://schemas.openxmlformats.org/officeDocument/2006/relationships" name="Identificacion_GL" sheetId="61" state="visible" r:id="rId61"/>
    <sheet xmlns:r="http://schemas.openxmlformats.org/officeDocument/2006/relationships" name="Regresion_Estadisticos" sheetId="62" state="visible" r:id="rId62"/>
    <sheet xmlns:r="http://schemas.openxmlformats.org/officeDocument/2006/relationships" name="Regresion_ANOVA" sheetId="63" state="visible" r:id="rId63"/>
    <sheet xmlns:r="http://schemas.openxmlformats.org/officeDocument/2006/relationships" name="Regresion_Coeficientes" sheetId="64" state="visible" r:id="rId64"/>
    <sheet xmlns:r="http://schemas.openxmlformats.org/officeDocument/2006/relationships" name="Regresion_Interpretacion" sheetId="65" state="visible" r:id="rId65"/>
    <sheet xmlns:r="http://schemas.openxmlformats.org/officeDocument/2006/relationships" name="Resumen_SmartPLS" sheetId="66" state="visible" r:id="rId66"/>
    <sheet xmlns:r="http://schemas.openxmlformats.org/officeDocument/2006/relationships" name="Outer_Loadings" sheetId="67" state="visible" r:id="rId67"/>
    <sheet xmlns:r="http://schemas.openxmlformats.org/officeDocument/2006/relationships" name="Paths" sheetId="68" state="visible" r:id="rId68"/>
    <sheet xmlns:r="http://schemas.openxmlformats.org/officeDocument/2006/relationships" name="Bootstraps" sheetId="69" state="visible" r:id="rId69"/>
    <sheet xmlns:r="http://schemas.openxmlformats.org/officeDocument/2006/relationships" name="R2" sheetId="70" state="visible" r:id="rId70"/>
    <sheet xmlns:r="http://schemas.openxmlformats.org/officeDocument/2006/relationships" name="Efectos_f2" sheetId="71" state="visible" r:id="rId71"/>
    <sheet xmlns:r="http://schemas.openxmlformats.org/officeDocument/2006/relationships" name="AVE_CR" sheetId="72" state="visible" r:id="rId72"/>
    <sheet xmlns:r="http://schemas.openxmlformats.org/officeDocument/2006/relationships" name="Fornell_Larcker" sheetId="73" state="visible" r:id="rId73"/>
    <sheet xmlns:r="http://schemas.openxmlformats.org/officeDocument/2006/relationships" name="HTMT" sheetId="74" state="visible" r:id="rId74"/>
    <sheet xmlns:r="http://schemas.openxmlformats.org/officeDocument/2006/relationships" name="VIF" sheetId="75" state="visible" r:id="rId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constructo</t>
        </is>
      </c>
      <c r="C1" t="inlineStr">
        <is>
          <t>pregunta</t>
        </is>
      </c>
      <c r="D1" t="inlineStr">
        <is>
          <t>escala</t>
        </is>
      </c>
      <c r="E1" t="inlineStr">
        <is>
          <t>puntos</t>
        </is>
      </c>
    </row>
    <row r="2">
      <c r="A2" t="inlineStr">
        <is>
          <t>CAL1</t>
        </is>
      </c>
      <c r="B2" t="inlineStr">
        <is>
          <t>Calidad</t>
        </is>
      </c>
      <c r="C2" t="inlineStr">
        <is>
          <t>La comida del restaurante es de buena calidad</t>
        </is>
      </c>
      <c r="D2" t="inlineStr">
        <is>
          <t>Likert</t>
        </is>
      </c>
      <c r="E2" t="n">
        <v>5</v>
      </c>
    </row>
    <row r="3">
      <c r="A3" t="inlineStr">
        <is>
          <t>CAL2</t>
        </is>
      </c>
      <c r="B3" t="inlineStr">
        <is>
          <t>Calidad</t>
        </is>
      </c>
      <c r="C3" t="inlineStr">
        <is>
          <t>El personal es amable y atento</t>
        </is>
      </c>
      <c r="D3" t="inlineStr">
        <is>
          <t>Likert</t>
        </is>
      </c>
      <c r="E3" t="n">
        <v>5</v>
      </c>
    </row>
    <row r="4">
      <c r="A4" t="inlineStr">
        <is>
          <t>CAL3</t>
        </is>
      </c>
      <c r="B4" t="inlineStr">
        <is>
          <t>Calidad</t>
        </is>
      </c>
      <c r="C4" t="inlineStr">
        <is>
          <t>El local está limpio y es agradable</t>
        </is>
      </c>
      <c r="D4" t="inlineStr">
        <is>
          <t>Likert</t>
        </is>
      </c>
      <c r="E4" t="n">
        <v>5</v>
      </c>
    </row>
    <row r="5">
      <c r="A5" t="inlineStr">
        <is>
          <t>SAT1</t>
        </is>
      </c>
      <c r="B5" t="inlineStr">
        <is>
          <t>Satisfaccion</t>
        </is>
      </c>
      <c r="C5" t="inlineStr">
        <is>
          <t>En general estoy satisfecho con mi experiencia en el restaurante</t>
        </is>
      </c>
      <c r="D5" t="inlineStr">
        <is>
          <t>Likert</t>
        </is>
      </c>
      <c r="E5" t="n">
        <v>5</v>
      </c>
    </row>
    <row r="6">
      <c r="A6" t="inlineStr">
        <is>
          <t>SAT2</t>
        </is>
      </c>
      <c r="B6" t="inlineStr">
        <is>
          <t>Satisfaccion</t>
        </is>
      </c>
      <c r="C6" t="inlineStr">
        <is>
          <t>Recomendaría este restaurante a familiares o amigos</t>
        </is>
      </c>
      <c r="D6" t="inlineStr">
        <is>
          <t>Likert</t>
        </is>
      </c>
      <c r="E6" t="n">
        <v>5</v>
      </c>
    </row>
    <row r="7">
      <c r="A7" t="inlineStr">
        <is>
          <t>SAT3</t>
        </is>
      </c>
      <c r="B7" t="inlineStr">
        <is>
          <t>Satisfaccion</t>
        </is>
      </c>
      <c r="C7" t="inlineStr">
        <is>
          <t>Volvería a visitar este restaurante</t>
        </is>
      </c>
      <c r="D7" t="inlineStr">
        <is>
          <t>Likert</t>
        </is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CAL1</t>
        </is>
      </c>
      <c r="C1" t="inlineStr">
        <is>
          <t>CAL2</t>
        </is>
      </c>
      <c r="D1" t="inlineStr">
        <is>
          <t>CAL3</t>
        </is>
      </c>
      <c r="E1" t="inlineStr">
        <is>
          <t>SAT1</t>
        </is>
      </c>
      <c r="F1" t="inlineStr">
        <is>
          <t>SAT2</t>
        </is>
      </c>
      <c r="G1" t="inlineStr">
        <is>
          <t>SAT3</t>
        </is>
      </c>
    </row>
    <row r="2">
      <c r="A2" t="n">
        <v>1</v>
      </c>
      <c r="B2" t="n">
        <v>4</v>
      </c>
      <c r="C2" t="n">
        <v>3</v>
      </c>
      <c r="D2" t="n">
        <v>4</v>
      </c>
      <c r="E2" t="n">
        <v>4</v>
      </c>
      <c r="F2" t="n">
        <v>5</v>
      </c>
      <c r="G2" t="n">
        <v>5</v>
      </c>
    </row>
    <row r="3">
      <c r="A3" t="n">
        <v>2</v>
      </c>
      <c r="B3" t="n">
        <v>3</v>
      </c>
      <c r="C3" t="n">
        <v>4</v>
      </c>
      <c r="D3" t="n">
        <v>5</v>
      </c>
      <c r="E3" t="n">
        <v>4</v>
      </c>
      <c r="F3" t="n">
        <v>4</v>
      </c>
      <c r="G3" t="n">
        <v>5</v>
      </c>
    </row>
    <row r="4">
      <c r="A4" t="n">
        <v>3</v>
      </c>
      <c r="B4" t="n">
        <v>2</v>
      </c>
      <c r="C4" t="n">
        <v>4</v>
      </c>
      <c r="D4" t="n">
        <v>4</v>
      </c>
      <c r="E4" t="n">
        <v>1</v>
      </c>
      <c r="F4" t="n">
        <v>1</v>
      </c>
      <c r="G4" t="n">
        <v>5</v>
      </c>
    </row>
    <row r="5">
      <c r="A5" t="n">
        <v>4</v>
      </c>
      <c r="B5" t="n">
        <v>3</v>
      </c>
      <c r="C5" t="n">
        <v>1</v>
      </c>
      <c r="D5" t="n">
        <v>2</v>
      </c>
      <c r="E5" t="n">
        <v>3</v>
      </c>
      <c r="F5" t="n">
        <v>1</v>
      </c>
      <c r="G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2</v>
      </c>
      <c r="G6" t="n">
        <v>1</v>
      </c>
    </row>
    <row r="7">
      <c r="A7" t="n">
        <v>6</v>
      </c>
      <c r="B7" t="n">
        <v>3</v>
      </c>
      <c r="C7" t="n">
        <v>4</v>
      </c>
      <c r="D7" t="n">
        <v>4</v>
      </c>
      <c r="E7" t="n">
        <v>3</v>
      </c>
      <c r="F7" t="n">
        <v>2</v>
      </c>
      <c r="G7" t="n">
        <v>2</v>
      </c>
    </row>
    <row r="8">
      <c r="A8" t="n">
        <v>7</v>
      </c>
      <c r="B8" t="n">
        <v>5</v>
      </c>
      <c r="C8" t="n">
        <v>3</v>
      </c>
      <c r="D8" t="n">
        <v>3</v>
      </c>
      <c r="E8" t="n">
        <v>5</v>
      </c>
      <c r="F8" t="n">
        <v>3</v>
      </c>
      <c r="G8" t="n">
        <v>3</v>
      </c>
    </row>
    <row r="9">
      <c r="A9" t="n">
        <v>8</v>
      </c>
      <c r="B9" t="n">
        <v>3</v>
      </c>
      <c r="C9" t="n">
        <v>5</v>
      </c>
      <c r="D9" t="n">
        <v>3</v>
      </c>
      <c r="E9" t="n">
        <v>1</v>
      </c>
      <c r="F9" t="n">
        <v>4</v>
      </c>
      <c r="G9" t="n">
        <v>3</v>
      </c>
    </row>
    <row r="10">
      <c r="A10" t="n">
        <v>9</v>
      </c>
      <c r="B10" t="n">
        <v>4</v>
      </c>
      <c r="C10" t="n">
        <v>5</v>
      </c>
      <c r="D10" t="n">
        <v>5</v>
      </c>
      <c r="E10" t="n">
        <v>5</v>
      </c>
      <c r="F10" t="n">
        <v>4</v>
      </c>
      <c r="G10" t="n">
        <v>4</v>
      </c>
    </row>
    <row r="11">
      <c r="A11" t="n">
        <v>10</v>
      </c>
      <c r="B11" t="n">
        <v>4</v>
      </c>
      <c r="C11" t="n">
        <v>4</v>
      </c>
      <c r="D11" t="n">
        <v>3</v>
      </c>
      <c r="E11" t="n">
        <v>4</v>
      </c>
      <c r="F11" t="n">
        <v>5</v>
      </c>
      <c r="G11" t="n">
        <v>4</v>
      </c>
    </row>
    <row r="12">
      <c r="A12" t="n">
        <v>11</v>
      </c>
      <c r="B12" t="n">
        <v>5</v>
      </c>
      <c r="C12" t="n">
        <v>2</v>
      </c>
      <c r="D12" t="n">
        <v>4</v>
      </c>
      <c r="E12" t="n">
        <v>5</v>
      </c>
      <c r="F12" t="n">
        <v>5</v>
      </c>
      <c r="G12" t="n">
        <v>1</v>
      </c>
    </row>
    <row r="13">
      <c r="A13" t="n">
        <v>12</v>
      </c>
      <c r="B13" t="n">
        <v>2</v>
      </c>
      <c r="C13" t="n">
        <v>1</v>
      </c>
      <c r="D13" t="n">
        <v>1</v>
      </c>
      <c r="E13" t="n">
        <v>1</v>
      </c>
      <c r="F13" t="n">
        <v>2</v>
      </c>
      <c r="G13" t="n">
        <v>4</v>
      </c>
    </row>
    <row r="14">
      <c r="A14" t="n">
        <v>13</v>
      </c>
      <c r="B14" t="n">
        <v>1</v>
      </c>
      <c r="C14" t="n">
        <v>3</v>
      </c>
      <c r="D14" t="n">
        <v>1</v>
      </c>
      <c r="E14" t="n">
        <v>2</v>
      </c>
      <c r="F14" t="n">
        <v>3</v>
      </c>
      <c r="G14" t="n">
        <v>1</v>
      </c>
    </row>
    <row r="15">
      <c r="A15" t="n">
        <v>14</v>
      </c>
      <c r="B15" t="n">
        <v>5</v>
      </c>
      <c r="C15" t="n">
        <v>5</v>
      </c>
      <c r="D15" t="n">
        <v>5</v>
      </c>
      <c r="E15" t="n">
        <v>4</v>
      </c>
      <c r="F15" t="n">
        <v>3</v>
      </c>
      <c r="G15" t="n">
        <v>5</v>
      </c>
    </row>
    <row r="16">
      <c r="A16" t="n">
        <v>15</v>
      </c>
      <c r="B16" t="n">
        <v>4</v>
      </c>
      <c r="C16" t="n">
        <v>3</v>
      </c>
      <c r="D16" t="n">
        <v>2</v>
      </c>
      <c r="E16" t="n">
        <v>3</v>
      </c>
      <c r="F16" t="n">
        <v>2</v>
      </c>
      <c r="G16" t="n">
        <v>3</v>
      </c>
    </row>
    <row r="17">
      <c r="A17" t="n">
        <v>16</v>
      </c>
      <c r="B17" t="n">
        <v>5</v>
      </c>
      <c r="C17" t="n">
        <v>5</v>
      </c>
      <c r="D17" t="n">
        <v>3</v>
      </c>
      <c r="E17" t="n">
        <v>5</v>
      </c>
      <c r="F17" t="n">
        <v>5</v>
      </c>
      <c r="G17" t="n">
        <v>4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2</v>
      </c>
      <c r="F18" t="n">
        <v>1</v>
      </c>
      <c r="G18" t="n">
        <v>3</v>
      </c>
    </row>
    <row r="19">
      <c r="A19" t="n">
        <v>18</v>
      </c>
      <c r="B19" t="n">
        <v>2</v>
      </c>
      <c r="C19" t="n">
        <v>2</v>
      </c>
      <c r="D19" t="n">
        <v>5</v>
      </c>
      <c r="E19" t="n">
        <v>2</v>
      </c>
      <c r="F19" t="n">
        <v>1</v>
      </c>
      <c r="G19" t="n">
        <v>2</v>
      </c>
    </row>
    <row r="20">
      <c r="A20" t="n">
        <v>19</v>
      </c>
      <c r="B20" t="n">
        <v>2</v>
      </c>
      <c r="C20" t="n">
        <v>1</v>
      </c>
      <c r="D20" t="n">
        <v>2</v>
      </c>
      <c r="E20" t="n">
        <v>3</v>
      </c>
      <c r="F20" t="n">
        <v>3</v>
      </c>
      <c r="G20" t="n">
        <v>2</v>
      </c>
    </row>
    <row r="21">
      <c r="A21" t="n">
        <v>20</v>
      </c>
      <c r="B21" t="n">
        <v>1</v>
      </c>
      <c r="C21" t="n">
        <v>2</v>
      </c>
      <c r="D21" t="n">
        <v>2</v>
      </c>
      <c r="E21" t="n">
        <v>2</v>
      </c>
      <c r="F21" t="n">
        <v>4</v>
      </c>
      <c r="G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lhs</t>
        </is>
      </c>
      <c r="C1" t="inlineStr">
        <is>
          <t>op</t>
        </is>
      </c>
      <c r="D1" t="inlineStr">
        <is>
          <t>rhs</t>
        </is>
      </c>
      <c r="E1" t="inlineStr">
        <is>
          <t>label</t>
        </is>
      </c>
      <c r="F1" t="inlineStr">
        <is>
          <t>fixed</t>
        </is>
      </c>
    </row>
    <row r="2">
      <c r="A2" t="inlineStr">
        <is>
          <t>medicion</t>
        </is>
      </c>
      <c r="B2" t="inlineStr">
        <is>
          <t>Calidad</t>
        </is>
      </c>
      <c r="C2" t="inlineStr">
        <is>
          <t>MEAS</t>
        </is>
      </c>
      <c r="D2" t="inlineStr">
        <is>
          <t>CAL1 + CAL2 + CAL3</t>
        </is>
      </c>
      <c r="F2" t="inlineStr">
        <is>
          <t>1</t>
        </is>
      </c>
    </row>
    <row r="3">
      <c r="A3" t="inlineStr">
        <is>
          <t>medicion</t>
        </is>
      </c>
      <c r="B3" t="inlineStr">
        <is>
          <t>Satisfaccion</t>
        </is>
      </c>
      <c r="C3" t="inlineStr">
        <is>
          <t>MEAS</t>
        </is>
      </c>
      <c r="D3" t="inlineStr">
        <is>
          <t>SAT1 + SAT2 + SAT3</t>
        </is>
      </c>
      <c r="F3" t="inlineStr">
        <is>
          <t>1</t>
        </is>
      </c>
    </row>
    <row r="4">
      <c r="A4" t="inlineStr">
        <is>
          <t>estructural</t>
        </is>
      </c>
      <c r="B4" t="inlineStr">
        <is>
          <t>Satisfaccion</t>
        </is>
      </c>
      <c r="C4" t="inlineStr">
        <is>
          <t>REG</t>
        </is>
      </c>
      <c r="D4" t="inlineStr">
        <is>
          <t>Calidad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Flujo</t>
        </is>
      </c>
    </row>
    <row r="2">
      <c r="A2" t="inlineStr">
        <is>
          <t>fase_smartpls</t>
        </is>
      </c>
      <c r="B2" t="inlineStr">
        <is>
          <t>que_hace</t>
        </is>
      </c>
      <c r="C2" t="inlineStr">
        <is>
          <t>sem_tool</t>
        </is>
      </c>
      <c r="D2" t="inlineStr">
        <is>
          <t>salida_excel</t>
        </is>
      </c>
    </row>
    <row r="3">
      <c r="A3" t="inlineStr">
        <is>
          <t>1. Datos</t>
        </is>
      </c>
      <c r="B3" t="inlineStr">
        <is>
          <t>Importar variables métricas (Likert, etc.)</t>
        </is>
      </c>
      <c r="C3" t="inlineStr">
        <is>
          <t>Hoja Datos + sem-tool descriptivos</t>
        </is>
      </c>
      <c r="D3" t="inlineStr">
        <is>
          <t>Descriptivos, Matriz_Covarianzas</t>
        </is>
      </c>
    </row>
    <row r="4">
      <c r="A4" t="inlineStr">
        <is>
          <t>2. Modelo</t>
        </is>
      </c>
      <c r="B4" t="inlineStr">
        <is>
          <t>Diagrama: constructos, indicadores, rutas</t>
        </is>
      </c>
      <c r="C4" t="inlineStr">
        <is>
          <t>Hoja Modelo_PLS (constructo, indicador, modo, rutas)</t>
        </is>
      </c>
      <c r="D4" t="inlineStr">
        <is>
          <t>Diagrama_SEM, Hipotesis (opcional)</t>
        </is>
      </c>
    </row>
    <row r="5">
      <c r="A5" t="inlineStr">
        <is>
          <t>3. Estimación PLS</t>
        </is>
      </c>
      <c r="B5" t="inlineStr">
        <is>
          <t>Algoritmo PLS (varianza explicada, no χ² global)</t>
        </is>
      </c>
      <c r="C5" t="inlineStr">
        <is>
          <t>sem-tool pls</t>
        </is>
      </c>
      <c r="D5" t="inlineStr">
        <is>
          <t>Outer_Loadings, Paths</t>
        </is>
      </c>
    </row>
    <row r="6">
      <c r="A6" t="inlineStr">
        <is>
          <t>4. Bootstrapping</t>
        </is>
      </c>
      <c r="B6" t="inlineStr">
        <is>
          <t>Significancia de cargas y rutas (p. ej. 5000)</t>
        </is>
      </c>
      <c r="C6" t="inlineStr">
        <is>
          <t>sem-tool pls --bootstraps 5000 --processes 2</t>
        </is>
      </c>
      <c r="D6" t="inlineStr">
        <is>
          <t>Bootstraps</t>
        </is>
      </c>
    </row>
    <row r="7">
      <c r="A7" t="inlineStr">
        <is>
          <t>5. Calidad de medida</t>
        </is>
      </c>
      <c r="B7" t="inlineStr">
        <is>
          <t>Cargas externas, AVE, CR, discriminant validity</t>
        </is>
      </c>
      <c r="C7" t="inlineStr">
        <is>
          <t>Métricas automáticas</t>
        </is>
      </c>
      <c r="D7" t="inlineStr">
        <is>
          <t>AVE_CR, Fornell_Larcker, HTMT, VIF</t>
        </is>
      </c>
    </row>
    <row r="8">
      <c r="A8" t="inlineStr">
        <is>
          <t>6. Modelo estructural</t>
        </is>
      </c>
      <c r="B8" t="inlineStr">
        <is>
          <t>Coeficientes de ruta, R², efectos f²</t>
        </is>
      </c>
      <c r="C8" t="inlineStr">
        <is>
          <t>Paths + regresión sobre scores</t>
        </is>
      </c>
      <c r="D8" t="inlineStr">
        <is>
          <t>Paths, R2, Efectos_f2, Regresion_Structural, Regresion_*</t>
        </is>
      </c>
    </row>
    <row r="10">
      <c r="A10" t="inlineStr">
        <is>
          <t>PLS_vs_CB</t>
        </is>
      </c>
    </row>
    <row r="11">
      <c r="A11" t="inlineStr">
        <is>
          <t>tema</t>
        </is>
      </c>
      <c r="B11" t="inlineStr">
        <is>
          <t>CB_SEM_EQS</t>
        </is>
      </c>
      <c r="C11" t="inlineStr">
        <is>
          <t>PLS_SmartPLS</t>
        </is>
      </c>
    </row>
    <row r="12">
      <c r="A12" t="inlineStr">
        <is>
          <t>Objetivo</t>
        </is>
      </c>
      <c r="B12" t="inlineStr">
        <is>
          <t>Reproducir matriz de covarianzas S (Σ ≈ S)</t>
        </is>
      </c>
      <c r="C12" t="inlineStr">
        <is>
          <t>Maximizar varianza explicada (R² de constructos)</t>
        </is>
      </c>
    </row>
    <row r="13">
      <c r="A13" t="inlineStr">
        <is>
          <t>Ajuste global</t>
        </is>
      </c>
      <c r="B13" t="inlineStr">
        <is>
          <t>χ², CFI, RMSEA (Fit_Indices)</t>
        </is>
      </c>
      <c r="C13" t="inlineStr">
        <is>
          <t>No hay χ²; evalúa cargas, AVE, HTMT, bootstrap</t>
        </is>
      </c>
    </row>
    <row r="14">
      <c r="A14" t="inlineStr">
        <is>
          <t>Muestra</t>
        </is>
      </c>
      <c r="B14" t="inlineStr">
        <is>
          <t>N grande (≥200 recomendado)</t>
        </is>
      </c>
      <c r="C14" t="inlineStr">
        <is>
          <t>Muestras menores toleradas; bootstrap fiable con N≥100</t>
        </is>
      </c>
    </row>
    <row r="15">
      <c r="A15" t="inlineStr">
        <is>
          <t>Comando sem-tool</t>
        </is>
      </c>
      <c r="B15" t="inlineStr">
        <is>
          <t>sem-tool cb</t>
        </is>
      </c>
      <c r="C15" t="inlineStr">
        <is>
          <t>sem-tool pls</t>
        </is>
      </c>
    </row>
    <row r="16">
      <c r="A16" t="inlineStr">
        <is>
          <t>Hoja de modelo</t>
        </is>
      </c>
      <c r="B16" t="inlineStr">
        <is>
          <t>Modelo_CB (MEAS, REG, COV)</t>
        </is>
      </c>
      <c r="C16" t="inlineStr">
        <is>
          <t>Modelo_PLS (constructo, indicador, modo, rutas)</t>
        </is>
      </c>
    </row>
    <row r="18">
      <c r="A18" t="inlineStr">
        <is>
          <t>Columnas_Modelo_PLS</t>
        </is>
      </c>
    </row>
    <row r="19">
      <c r="A19" t="inlineStr">
        <is>
          <t>columna</t>
        </is>
      </c>
      <c r="B19" t="inlineStr">
        <is>
          <t>uso</t>
        </is>
      </c>
      <c r="C19" t="inlineStr">
        <is>
          <t>ejemplo</t>
        </is>
      </c>
    </row>
    <row r="20">
      <c r="A20" t="inlineStr">
        <is>
          <t>constructo</t>
        </is>
      </c>
      <c r="B20" t="inlineStr">
        <is>
          <t>Nombre del constructo latente (LV)</t>
        </is>
      </c>
      <c r="C20" t="inlineStr">
        <is>
          <t>Calidad</t>
        </is>
      </c>
    </row>
    <row r="21">
      <c r="A21" t="inlineStr">
        <is>
          <t>indicador</t>
        </is>
      </c>
      <c r="B21" t="inlineStr">
        <is>
          <t>Ítem observado (vacío en filas solo de ruta)</t>
        </is>
      </c>
      <c r="C21" t="inlineStr">
        <is>
          <t>CAL1</t>
        </is>
      </c>
    </row>
    <row r="22">
      <c r="A22" t="inlineStr">
        <is>
          <t>modo</t>
        </is>
      </c>
      <c r="B22" t="inlineStr">
        <is>
          <t>A = reflexivo (indicadores reflejan constructo); B = formativo</t>
        </is>
      </c>
      <c r="C22" t="inlineStr">
        <is>
          <t>A</t>
        </is>
      </c>
    </row>
    <row r="23">
      <c r="A23" t="inlineStr">
        <is>
          <t>ruta_origen</t>
        </is>
      </c>
      <c r="B23" t="inlineStr">
        <is>
          <t>Constructo predictor (estructural)</t>
        </is>
      </c>
      <c r="C23" t="inlineStr">
        <is>
          <t>Calidad</t>
        </is>
      </c>
    </row>
    <row r="24">
      <c r="A24" t="inlineStr">
        <is>
          <t>ruta_destino</t>
        </is>
      </c>
      <c r="B24" t="inlineStr">
        <is>
          <t>Constructo dependiente</t>
        </is>
      </c>
      <c r="C24" t="inlineStr">
        <is>
          <t>Satisfaccion</t>
        </is>
      </c>
    </row>
    <row r="25">
      <c r="A25" t="inlineStr">
        <is>
          <t>nota</t>
        </is>
      </c>
      <c r="B25" t="inlineStr">
        <is>
          <t>Comentario opcional</t>
        </is>
      </c>
      <c r="C25" t="inlineStr">
        <is>
          <t>ruta H1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constructo</t>
        </is>
      </c>
      <c r="B1" t="inlineStr">
        <is>
          <t>indicador</t>
        </is>
      </c>
      <c r="C1" t="inlineStr">
        <is>
          <t>modo</t>
        </is>
      </c>
      <c r="D1" t="inlineStr">
        <is>
          <t>ruta_origen</t>
        </is>
      </c>
      <c r="E1" t="inlineStr">
        <is>
          <t>ruta_destino</t>
        </is>
      </c>
      <c r="F1" t="inlineStr">
        <is>
          <t>notas</t>
        </is>
      </c>
    </row>
    <row r="2">
      <c r="A2" t="inlineStr">
        <is>
          <t>Calidad</t>
        </is>
      </c>
      <c r="B2" t="inlineStr">
        <is>
          <t>CAL1</t>
        </is>
      </c>
      <c r="C2" t="inlineStr">
        <is>
          <t>A</t>
        </is>
      </c>
      <c r="F2" t="inlineStr">
        <is>
          <t>ítem reflexivo</t>
        </is>
      </c>
    </row>
    <row r="3">
      <c r="A3" t="inlineStr">
        <is>
          <t>Calidad</t>
        </is>
      </c>
      <c r="B3" t="inlineStr">
        <is>
          <t>CAL2</t>
        </is>
      </c>
      <c r="C3" t="inlineStr">
        <is>
          <t>A</t>
        </is>
      </c>
      <c r="F3" t="inlineStr">
        <is>
          <t>ítem reflexivo</t>
        </is>
      </c>
    </row>
    <row r="4">
      <c r="A4" t="inlineStr">
        <is>
          <t>Calidad</t>
        </is>
      </c>
      <c r="B4" t="inlineStr">
        <is>
          <t>CAL3</t>
        </is>
      </c>
      <c r="C4" t="inlineStr">
        <is>
          <t>A</t>
        </is>
      </c>
      <c r="F4" t="inlineStr">
        <is>
          <t>ítem reflexivo</t>
        </is>
      </c>
    </row>
    <row r="5">
      <c r="A5" t="inlineStr">
        <is>
          <t>Satisfaccion</t>
        </is>
      </c>
      <c r="B5" t="inlineStr">
        <is>
          <t>SAT1</t>
        </is>
      </c>
      <c r="C5" t="inlineStr">
        <is>
          <t>A</t>
        </is>
      </c>
      <c r="F5" t="inlineStr">
        <is>
          <t>ítem reflexivo</t>
        </is>
      </c>
    </row>
    <row r="6">
      <c r="A6" t="inlineStr">
        <is>
          <t>Satisfaccion</t>
        </is>
      </c>
      <c r="B6" t="inlineStr">
        <is>
          <t>SAT2</t>
        </is>
      </c>
      <c r="C6" t="inlineStr">
        <is>
          <t>A</t>
        </is>
      </c>
      <c r="F6" t="inlineStr">
        <is>
          <t>ítem reflexivo</t>
        </is>
      </c>
    </row>
    <row r="7">
      <c r="A7" t="inlineStr">
        <is>
          <t>Satisfaccion</t>
        </is>
      </c>
      <c r="B7" t="inlineStr">
        <is>
          <t>SAT3</t>
        </is>
      </c>
      <c r="C7" t="inlineStr">
        <is>
          <t>A</t>
        </is>
      </c>
      <c r="F7" t="inlineStr">
        <is>
          <t>ítem reflexivo</t>
        </is>
      </c>
    </row>
    <row r="8">
      <c r="A8" t="inlineStr">
        <is>
          <t>Calidad</t>
        </is>
      </c>
      <c r="C8" t="inlineStr">
        <is>
          <t>A</t>
        </is>
      </c>
      <c r="D8" t="inlineStr">
        <is>
          <t>Calidad</t>
        </is>
      </c>
      <c r="E8" t="inlineStr">
        <is>
          <t>Satisfaccion</t>
        </is>
      </c>
      <c r="F8" t="inlineStr">
        <is>
          <t>H1 estructural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destino</t>
        </is>
      </c>
      <c r="C1" t="inlineStr">
        <is>
          <t>hipotesis</t>
        </is>
      </c>
      <c r="D1" t="inlineStr">
        <is>
          <t>referencia</t>
        </is>
      </c>
      <c r="E1" t="inlineStr">
        <is>
          <t>argumento</t>
        </is>
      </c>
    </row>
    <row r="2">
      <c r="A2" t="inlineStr">
        <is>
          <t>Calidad</t>
        </is>
      </c>
      <c r="B2" t="inlineStr">
        <is>
          <t>Satisfaccion</t>
        </is>
      </c>
      <c r="C2" t="inlineStr">
        <is>
          <t>H1: La calidad percibida del restaurante impacta positivamente la satisfacción del cliente</t>
        </is>
      </c>
      <c r="D2" t="inlineStr">
        <is>
          <t>Parasuraman et al. (1988); Oliver (1997) — adaptar cita</t>
        </is>
      </c>
      <c r="E2" t="inlineStr">
        <is>
          <t>Mayor calidad en comida, servicio y ambiente se asocia con mayor satisfacción y lealtad en restauración.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constructo</t>
        </is>
      </c>
      <c r="B1" t="inlineStr">
        <is>
          <t>indicador</t>
        </is>
      </c>
      <c r="C1" t="inlineStr">
        <is>
          <t>escala</t>
        </is>
      </c>
      <c r="D1" t="inlineStr">
        <is>
          <t>puntos</t>
        </is>
      </c>
      <c r="E1" t="inlineStr">
        <is>
          <t>referencia</t>
        </is>
      </c>
      <c r="F1" t="inlineStr">
        <is>
          <t>notas</t>
        </is>
      </c>
    </row>
    <row r="2">
      <c r="A2" t="inlineStr">
        <is>
          <t>Calidad</t>
        </is>
      </c>
      <c r="B2" t="inlineStr">
        <is>
          <t>CAL1</t>
        </is>
      </c>
      <c r="C2" t="inlineStr">
        <is>
          <t>Likert</t>
        </is>
      </c>
      <c r="D2" t="n">
        <v>5</v>
      </c>
      <c r="E2" t="inlineStr">
        <is>
          <t>Adaptado SERVQUAL — dimensión tangibles/alimentos</t>
        </is>
      </c>
      <c r="F2" t="inlineStr">
        <is>
          <t>La comida del restaurante es de buena calidad</t>
        </is>
      </c>
    </row>
    <row r="3">
      <c r="A3" t="inlineStr">
        <is>
          <t>Calidad</t>
        </is>
      </c>
      <c r="B3" t="inlineStr">
        <is>
          <t>CAL2</t>
        </is>
      </c>
      <c r="C3" t="inlineStr">
        <is>
          <t>Likert</t>
        </is>
      </c>
      <c r="D3" t="n">
        <v>5</v>
      </c>
      <c r="E3" t="inlineStr">
        <is>
          <t>Adaptado SERVQUAL — dimensión servicio</t>
        </is>
      </c>
      <c r="F3" t="inlineStr">
        <is>
          <t>El personal es amable y atento</t>
        </is>
      </c>
    </row>
    <row r="4">
      <c r="A4" t="inlineStr">
        <is>
          <t>Calidad</t>
        </is>
      </c>
      <c r="B4" t="inlineStr">
        <is>
          <t>CAL3</t>
        </is>
      </c>
      <c r="C4" t="inlineStr">
        <is>
          <t>Likert</t>
        </is>
      </c>
      <c r="D4" t="n">
        <v>5</v>
      </c>
      <c r="E4" t="inlineStr">
        <is>
          <t>Adaptado SERVQUAL — ambiente</t>
        </is>
      </c>
      <c r="F4" t="inlineStr">
        <is>
          <t>El local está limpio y es agradable</t>
        </is>
      </c>
    </row>
    <row r="5">
      <c r="A5" t="inlineStr">
        <is>
          <t>Satisfaccion</t>
        </is>
      </c>
      <c r="B5" t="inlineStr">
        <is>
          <t>SAT1</t>
        </is>
      </c>
      <c r="C5" t="inlineStr">
        <is>
          <t>Likert</t>
        </is>
      </c>
      <c r="D5" t="n">
        <v>5</v>
      </c>
      <c r="E5" t="inlineStr">
        <is>
          <t>Satisfacción global — literatura hospitalidad</t>
        </is>
      </c>
      <c r="F5" t="inlineStr">
        <is>
          <t>En general estoy satisfecho con mi experiencia en el restaurante</t>
        </is>
      </c>
    </row>
    <row r="6">
      <c r="A6" t="inlineStr">
        <is>
          <t>Satisfaccion</t>
        </is>
      </c>
      <c r="B6" t="inlineStr">
        <is>
          <t>SAT2</t>
        </is>
      </c>
      <c r="C6" t="inlineStr">
        <is>
          <t>Likert</t>
        </is>
      </c>
      <c r="D6" t="n">
        <v>5</v>
      </c>
      <c r="E6" t="inlineStr">
        <is>
          <t>Intención de recomendación (NPS / lealtad)</t>
        </is>
      </c>
      <c r="F6" t="inlineStr">
        <is>
          <t>Recomendaría este restaurante a familiares o amigos</t>
        </is>
      </c>
    </row>
    <row r="7">
      <c r="A7" t="inlineStr">
        <is>
          <t>Satisfaccion</t>
        </is>
      </c>
      <c r="B7" t="inlineStr">
        <is>
          <t>SAT3</t>
        </is>
      </c>
      <c r="C7" t="inlineStr">
        <is>
          <t>Likert</t>
        </is>
      </c>
      <c r="D7" t="n">
        <v>5</v>
      </c>
      <c r="E7" t="inlineStr">
        <is>
          <t>Intención de repurchase</t>
        </is>
      </c>
      <c r="F7" t="inlineStr">
        <is>
          <t>Volvería a visitar este restaurante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simbolo</t>
        </is>
      </c>
      <c r="B1" t="inlineStr">
        <is>
          <t>forma</t>
        </is>
      </c>
      <c r="C1" t="inlineStr">
        <is>
          <t>tipo</t>
        </is>
      </c>
      <c r="D1" t="inlineStr">
        <is>
          <t>en_sem_tool</t>
        </is>
      </c>
      <c r="E1" t="inlineStr">
        <is>
          <t>ejemplo</t>
        </is>
      </c>
    </row>
    <row r="2">
      <c r="A2" t="inlineStr">
        <is>
          <t>V</t>
        </is>
      </c>
      <c r="B2" t="inlineStr">
        <is>
          <t>Rectángulo</t>
        </is>
      </c>
      <c r="C2" t="inlineStr">
        <is>
          <t>Variable observada</t>
        </is>
      </c>
      <c r="D2" t="inlineStr">
        <is>
          <t>Columnas en hoja Datos</t>
        </is>
      </c>
      <c r="E2" t="inlineStr">
        <is>
          <t>CAL1, SAT2</t>
        </is>
      </c>
    </row>
    <row r="3">
      <c r="A3" t="inlineStr">
        <is>
          <t>F</t>
        </is>
      </c>
      <c r="B3" t="inlineStr">
        <is>
          <t>Círculo / elipse</t>
        </is>
      </c>
      <c r="C3" t="inlineStr">
        <is>
          <t>Variable latente (factor)</t>
        </is>
      </c>
      <c r="D3" t="inlineStr">
        <is>
          <t>Constructo en Modelo_CB o Modelo_PLS</t>
        </is>
      </c>
      <c r="E3" t="inlineStr">
        <is>
          <t>Calidad, Satisfaccion</t>
        </is>
      </c>
    </row>
    <row r="4">
      <c r="A4" t="inlineStr">
        <is>
          <t>E</t>
        </is>
      </c>
      <c r="B4" t="inlineStr">
        <is>
          <t>Rectángulo E → V</t>
        </is>
      </c>
      <c r="C4" t="inlineStr">
        <is>
          <t>Error de medida</t>
        </is>
      </c>
      <c r="D4" t="inlineStr">
        <is>
          <t>Parte no explicada ítem–factor (Theta en CB-SEM)</t>
        </is>
      </c>
      <c r="E4" t="inlineStr">
        <is>
          <t>Error al medir CAL1</t>
        </is>
      </c>
    </row>
    <row r="5">
      <c r="A5" t="inlineStr">
        <is>
          <t>D</t>
        </is>
      </c>
      <c r="B5" t="inlineStr">
        <is>
          <t>Círculo D → F</t>
        </is>
      </c>
      <c r="C5" t="inlineStr">
        <is>
          <t>Error residual (perturbación)</t>
        </is>
      </c>
      <c r="D5" t="inlineStr">
        <is>
          <t>Residual del factor endógeno (disturbance)</t>
        </is>
      </c>
      <c r="E5" t="inlineStr">
        <is>
          <t>Parte de Satisfaccion no explicada por Calidad</t>
        </is>
      </c>
    </row>
    <row r="6">
      <c r="A6" t="inlineStr">
        <is>
          <t>F1↔F2</t>
        </is>
      </c>
      <c r="B6" t="inlineStr">
        <is>
          <t>Flecha doble curva</t>
        </is>
      </c>
      <c r="C6" t="inlineStr">
        <is>
          <t>Covarianza entre factores</t>
        </is>
      </c>
      <c r="D6" t="inlineStr">
        <is>
          <t>Fila tipo COV en Modelo_CB (opcional)</t>
        </is>
      </c>
      <c r="E6" t="inlineStr">
        <is>
          <t>Calidad ~~ Satisfaccion</t>
        </is>
      </c>
    </row>
    <row r="7">
      <c r="A7" t="inlineStr">
        <is>
          <t>→</t>
        </is>
      </c>
      <c r="B7" t="inlineStr">
        <is>
          <t>Flecha simple</t>
        </is>
      </c>
      <c r="C7" t="inlineStr">
        <is>
          <t>Ruta estructural (regresión)</t>
        </is>
      </c>
      <c r="D7" t="inlineStr">
        <is>
          <t>REG: Y ~ X o ruta PLS origen→destino</t>
        </is>
      </c>
      <c r="E7" t="inlineStr">
        <is>
          <t>Satisfaccion = a + b·Calidad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tipo</t>
        </is>
      </c>
      <c r="C1" t="inlineStr">
        <is>
          <t>nombre_modelo</t>
        </is>
      </c>
      <c r="D1" t="inlineStr">
        <is>
          <t>hipotesis</t>
        </is>
      </c>
    </row>
    <row r="2">
      <c r="A2" t="inlineStr">
        <is>
          <t>F1</t>
        </is>
      </c>
      <c r="B2" t="inlineStr">
        <is>
          <t>Factor latente</t>
        </is>
      </c>
      <c r="C2" t="inlineStr">
        <is>
          <t>Calidad</t>
        </is>
      </c>
      <c r="D2" t="inlineStr">
        <is>
          <t>Calidad del servicio</t>
        </is>
      </c>
    </row>
    <row r="3">
      <c r="A3" t="inlineStr">
        <is>
          <t>F2</t>
        </is>
      </c>
      <c r="B3" t="inlineStr">
        <is>
          <t>Factor latente</t>
        </is>
      </c>
      <c r="C3" t="inlineStr">
        <is>
          <t>Satisfaccion</t>
        </is>
      </c>
      <c r="D3" t="inlineStr">
        <is>
          <t>Satisfacción con el servicio</t>
        </is>
      </c>
    </row>
    <row r="4">
      <c r="A4" t="inlineStr">
        <is>
          <t>V1</t>
        </is>
      </c>
      <c r="B4" t="inlineStr">
        <is>
          <t>Variable observada (V = ítem, no ‘varianza’)</t>
        </is>
      </c>
      <c r="C4" t="inlineStr">
        <is>
          <t>CAL1</t>
        </is>
      </c>
      <c r="D4" t="inlineStr">
        <is>
          <t>En Matriz_Covarianzas: Var(V1) en S(V1,V1); Cov(V1,V2) con V2</t>
        </is>
      </c>
    </row>
    <row r="5">
      <c r="A5" t="inlineStr">
        <is>
          <t>V2</t>
        </is>
      </c>
      <c r="B5" t="inlineStr">
        <is>
          <t>Variable observada (V = ítem, no ‘varianza’)</t>
        </is>
      </c>
      <c r="C5" t="inlineStr">
        <is>
          <t>CAL2</t>
        </is>
      </c>
      <c r="D5" t="inlineStr">
        <is>
          <t>Cov(V1,V2)=Cov(V2,V1) (misma celda, matriz simétrica)</t>
        </is>
      </c>
    </row>
    <row r="6">
      <c r="A6" t="inlineStr">
        <is>
          <t>V3</t>
        </is>
      </c>
      <c r="B6" t="inlineStr">
        <is>
          <t>Variable observada</t>
        </is>
      </c>
      <c r="C6" t="inlineStr">
        <is>
          <t>CAL3</t>
        </is>
      </c>
      <c r="D6" t="inlineStr">
        <is>
          <t>Indicador de F1</t>
        </is>
      </c>
    </row>
    <row r="7">
      <c r="A7" t="inlineStr">
        <is>
          <t>V4</t>
        </is>
      </c>
      <c r="B7" t="inlineStr">
        <is>
          <t>Variable observada</t>
        </is>
      </c>
      <c r="C7" t="inlineStr">
        <is>
          <t>SAT1</t>
        </is>
      </c>
      <c r="D7" t="inlineStr">
        <is>
          <t>Indicador de F2 (satisfacción)</t>
        </is>
      </c>
    </row>
    <row r="8">
      <c r="A8" t="inlineStr">
        <is>
          <t>V5</t>
        </is>
      </c>
      <c r="B8" t="inlineStr">
        <is>
          <t>Variable observada</t>
        </is>
      </c>
      <c r="C8" t="inlineStr">
        <is>
          <t>SAT2</t>
        </is>
      </c>
      <c r="D8" t="inlineStr">
        <is>
          <t>Indicador de F2</t>
        </is>
      </c>
    </row>
    <row r="9">
      <c r="A9" t="inlineStr">
        <is>
          <t>SAT3</t>
        </is>
      </c>
      <c r="B9" t="inlineStr">
        <is>
          <t>Variable observada</t>
        </is>
      </c>
      <c r="C9" t="inlineStr">
        <is>
          <t>SAT3</t>
        </is>
      </c>
      <c r="D9" t="inlineStr">
        <is>
          <t>Tercer ítem F2 (requerido: mín. 3 por constructo)</t>
        </is>
      </c>
    </row>
    <row r="10">
      <c r="A10" t="inlineStr">
        <is>
          <t>E1</t>
        </is>
      </c>
      <c r="B10" t="inlineStr">
        <is>
          <t>Error de medida</t>
        </is>
      </c>
      <c r="C10" t="inlineStr">
        <is>
          <t>CAL1</t>
        </is>
      </c>
      <c r="D10" t="inlineStr">
        <is>
          <t>Error al medir V1</t>
        </is>
      </c>
    </row>
    <row r="11">
      <c r="A11" t="inlineStr">
        <is>
          <t>E2</t>
        </is>
      </c>
      <c r="B11" t="inlineStr">
        <is>
          <t>Error de medida</t>
        </is>
      </c>
      <c r="C11" t="inlineStr">
        <is>
          <t>CAL2</t>
        </is>
      </c>
      <c r="D11" t="inlineStr">
        <is>
          <t>Error al medir V2</t>
        </is>
      </c>
    </row>
    <row r="12">
      <c r="A12" t="inlineStr">
        <is>
          <t>E3</t>
        </is>
      </c>
      <c r="B12" t="inlineStr">
        <is>
          <t>Error de medida</t>
        </is>
      </c>
      <c r="C12" t="inlineStr">
        <is>
          <t>CAL3</t>
        </is>
      </c>
      <c r="D12" t="inlineStr">
        <is>
          <t>Error al medir V3</t>
        </is>
      </c>
    </row>
    <row r="13">
      <c r="A13" t="inlineStr">
        <is>
          <t>E4</t>
        </is>
      </c>
      <c r="B13" t="inlineStr">
        <is>
          <t>Error de medida</t>
        </is>
      </c>
      <c r="C13" t="inlineStr">
        <is>
          <t>SAT1</t>
        </is>
      </c>
      <c r="D13" t="inlineStr">
        <is>
          <t>Error al medir V4</t>
        </is>
      </c>
    </row>
    <row r="14">
      <c r="A14" t="inlineStr">
        <is>
          <t>E5</t>
        </is>
      </c>
      <c r="B14" t="inlineStr">
        <is>
          <t>Error de medida</t>
        </is>
      </c>
      <c r="C14" t="inlineStr">
        <is>
          <t>SAT2</t>
        </is>
      </c>
      <c r="D14" t="inlineStr">
        <is>
          <t>Error al medir V5</t>
        </is>
      </c>
    </row>
    <row r="15">
      <c r="A15" t="inlineStr">
        <is>
          <t>D2</t>
        </is>
      </c>
      <c r="B15" t="inlineStr">
        <is>
          <t>Error estructural (perturbación)</t>
        </is>
      </c>
      <c r="C15" t="inlineStr">
        <is>
          <t>Satisfaccion</t>
        </is>
      </c>
      <c r="D15" t="inlineStr">
        <is>
          <t>Residual en F2 no explicado por F1 (disturbance)</t>
        </is>
      </c>
    </row>
    <row r="16">
      <c r="A16" t="inlineStr">
        <is>
          <t>F1→F2</t>
        </is>
      </c>
      <c r="B16" t="inlineStr">
        <is>
          <t>Ruta estructural</t>
        </is>
      </c>
      <c r="C16" t="inlineStr">
        <is>
          <t>Calidad → Satisfaccion</t>
        </is>
      </c>
      <c r="D16" t="inlineStr">
        <is>
          <t>H1: la satisfacción está relacionada con la calidad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descripcion</t>
        </is>
      </c>
    </row>
    <row r="2">
      <c r="A2" t="inlineStr">
        <is>
          <t>DATA</t>
        </is>
      </c>
      <c r="B2" t="inlineStr">
        <is>
          <t>V1–V3 calidad + V4–V5 (V6/SAT3) satisfacción en hoja Datos</t>
        </is>
      </c>
    </row>
    <row r="3">
      <c r="A3" t="inlineStr">
        <is>
          <t>Latentes</t>
        </is>
      </c>
      <c r="B3" t="inlineStr">
        <is>
          <t>F1 = Calidad, F2 = Satisfaccion</t>
        </is>
      </c>
    </row>
    <row r="4">
      <c r="A4" t="inlineStr">
        <is>
          <t>Ruta</t>
        </is>
      </c>
      <c r="B4" t="inlineStr">
        <is>
          <t>F2 = a + b·F1  (satisfacción relacionada con calidad)</t>
        </is>
      </c>
    </row>
    <row r="5">
      <c r="A5" t="inlineStr">
        <is>
          <t>Errores medida</t>
        </is>
      </c>
      <c r="B5" t="inlineStr">
        <is>
          <t>E1–E5 (y E6 si hay SAT3) → hoja Errores_Medicion</t>
        </is>
      </c>
    </row>
    <row r="6">
      <c r="A6" t="inlineStr">
        <is>
          <t>Error estructural</t>
        </is>
      </c>
      <c r="B6" t="inlineStr">
        <is>
          <t>D2 → perturbación en F2 (hoja Errores_Estructurales)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tipo</t>
        </is>
      </c>
      <c r="C1" t="inlineStr">
        <is>
          <t>descripcion</t>
        </is>
      </c>
      <c r="D1" t="inlineStr">
        <is>
          <t>en_sem_tool</t>
        </is>
      </c>
    </row>
    <row r="2">
      <c r="A2" t="n">
        <v>1</v>
      </c>
      <c r="B2" t="inlineStr">
        <is>
          <t>Sí es parámetro</t>
        </is>
      </c>
      <c r="C2" t="inlineStr">
        <is>
          <t>Todas las varianzas de las variables independientes</t>
        </is>
      </c>
      <c r="D2" t="inlineStr">
        <is>
          <t>Varianzas de factores exógenos (Psi) estimadas o fijadas</t>
        </is>
      </c>
    </row>
    <row r="3">
      <c r="A3" t="n">
        <v>2</v>
      </c>
      <c r="B3" t="inlineStr">
        <is>
          <t>Sí es parámetro</t>
        </is>
      </c>
      <c r="C3" t="inlineStr">
        <is>
          <t>Todas las covarianzas entre variables independientes</t>
        </is>
      </c>
      <c r="D3" t="inlineStr">
        <is>
          <t>Filas COV en Modelo_CB (~~ entre exógenos)</t>
        </is>
      </c>
    </row>
    <row r="4">
      <c r="A4" t="n">
        <v>3</v>
      </c>
      <c r="B4" t="inlineStr">
        <is>
          <t>Sí es parámetro</t>
        </is>
      </c>
      <c r="C4" t="inlineStr">
        <is>
          <t>Todas las cargas factoriales (latente → indicadores)</t>
        </is>
      </c>
      <c r="D4" t="inlineStr">
        <is>
          <t>Filas MEAS (=~) en Modelo_CB; loadings en Loadings</t>
        </is>
      </c>
    </row>
    <row r="5">
      <c r="A5" t="n">
        <v>4</v>
      </c>
      <c r="B5" t="inlineStr">
        <is>
          <t>Sí es parámetro</t>
        </is>
      </c>
      <c r="C5" t="inlineStr">
        <is>
          <t>Todos los coeficientes de regresión (observadas o latentes)</t>
        </is>
      </c>
      <c r="D5" t="inlineStr">
        <is>
          <t>Filas REG (~) ej. Satisfaccion ~ Calidad → pendiente b</t>
        </is>
      </c>
    </row>
    <row r="6">
      <c r="A6" t="n">
        <v>5</v>
      </c>
      <c r="B6" t="inlineStr">
        <is>
          <t>Nunca es parámetro</t>
        </is>
      </c>
      <c r="C6" t="inlineStr">
        <is>
          <t>(i) Varianzas de dependientes; (ii) covarianzas entre dependientes; (iii) covarianzas entre dependiente e independiente</t>
        </is>
      </c>
      <c r="D6" t="inlineStr">
        <is>
          <t>Se calculan a partir de otros parámetros (modelo implícito)</t>
        </is>
      </c>
    </row>
    <row r="7">
      <c r="A7" t="n">
        <v>6</v>
      </c>
      <c r="B7" t="inlineStr">
        <is>
          <t>Fijar métrica del latente</t>
        </is>
      </c>
      <c r="C7" t="inlineStr">
        <is>
          <t>Exógeno: varianza=1 o carga fija a 1. Endógeno: coeficiente fijo a 1</t>
        </is>
      </c>
      <c r="D7" t="inlineStr">
        <is>
          <t>Columna fixed=1 en MEAS (carga 1*ítem) o varianza fijada en semopy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paso</t>
        </is>
      </c>
      <c r="B1" t="inlineStr">
        <is>
          <t>regla_aplicada</t>
        </is>
      </c>
      <c r="C1" t="inlineStr">
        <is>
          <t>en_Modelo_CB</t>
        </is>
      </c>
    </row>
    <row r="2">
      <c r="A2" t="inlineStr">
        <is>
          <t>Exógenos (F1 Calidad)</t>
        </is>
      </c>
      <c r="B2" t="inlineStr">
        <is>
          <t>Regla 6: fijar 1*primer ítem o varianza</t>
        </is>
      </c>
      <c r="C2" t="inlineStr">
        <is>
          <t>MEAS Calidad + fixed=1 en primer ítem</t>
        </is>
      </c>
    </row>
    <row r="3">
      <c r="A3" t="inlineStr">
        <is>
          <t>Endógenos (F2 Satisfacción)</t>
        </is>
      </c>
      <c r="B3" t="inlineStr">
        <is>
          <t>Regla 5: varianza residual D (Psi) derivada</t>
        </is>
      </c>
      <c r="C3" t="inlineStr">
        <is>
          <t>REG Satisfaccion ~ Calidad</t>
        </is>
      </c>
    </row>
    <row r="4">
      <c r="A4" t="inlineStr">
        <is>
          <t>Cargas (=~)</t>
        </is>
      </c>
      <c r="B4" t="inlineStr">
        <is>
          <t>Regla 3: parámetros libres salvo 1 fijado</t>
        </is>
      </c>
      <c r="C4" t="inlineStr">
        <is>
          <t>CAL1 + CAL2 + CAL3</t>
        </is>
      </c>
    </row>
    <row r="5">
      <c r="A5" t="inlineStr">
        <is>
          <t>Rutas (~)</t>
        </is>
      </c>
      <c r="B5" t="inlineStr">
        <is>
          <t>Regla 4: pendiente b estimada</t>
        </is>
      </c>
      <c r="C5" t="inlineStr">
        <is>
          <t>Satisfaccion REG Calidad</t>
        </is>
      </c>
    </row>
    <row r="6">
      <c r="A6" t="inlineStr">
        <is>
          <t>Covarianzas exógenas (~~)</t>
        </is>
      </c>
      <c r="B6" t="inlineStr">
        <is>
          <t>Regla 2: opcional COV entre exógenos</t>
        </is>
      </c>
      <c r="C6" t="inlineStr">
        <is>
          <t>solo si hay 2+ exógenos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simbolo_diagrama</t>
        </is>
      </c>
      <c r="B1" s="1" t="inlineStr">
        <is>
          <t>que_es</t>
        </is>
      </c>
      <c r="C1" s="1" t="inlineStr">
        <is>
          <t>celda_en_S</t>
        </is>
      </c>
      <c r="D1" s="1" t="inlineStr">
        <is>
          <t>tipo_dato</t>
        </is>
      </c>
      <c r="E1" s="1" t="inlineStr">
        <is>
          <t>cuenta</t>
        </is>
      </c>
    </row>
    <row r="2">
      <c r="A2" t="inlineStr">
        <is>
          <t>V1</t>
        </is>
      </c>
      <c r="B2" t="inlineStr">
        <is>
          <t>Variable observada 1 (ítem; en el estudio → CAL1)</t>
        </is>
      </c>
      <c r="C2" t="inlineStr">
        <is>
          <t>S(V1,V1)</t>
        </is>
      </c>
      <c r="D2" t="inlineStr">
        <is>
          <t>Varianza de V1</t>
        </is>
      </c>
      <c r="E2" t="inlineStr">
        <is>
          <t>1/3</t>
        </is>
      </c>
    </row>
    <row r="3">
      <c r="A3" t="inlineStr">
        <is>
          <t>V2</t>
        </is>
      </c>
      <c r="B3" t="inlineStr">
        <is>
          <t>Variable observada 2 (ítem; en el estudio → CAL2)</t>
        </is>
      </c>
      <c r="C3" t="inlineStr">
        <is>
          <t>S(V2,V2)</t>
        </is>
      </c>
      <c r="D3" t="inlineStr">
        <is>
          <t>Varianza de V2</t>
        </is>
      </c>
      <c r="E3" t="inlineStr">
        <is>
          <t>2/3</t>
        </is>
      </c>
    </row>
    <row r="4">
      <c r="A4" t="inlineStr">
        <is>
          <t>V1 y V2</t>
        </is>
      </c>
      <c r="B4" t="inlineStr">
        <is>
          <t>Misma covarianza en la fila V1 o en la fila V2 (S simétrica)</t>
        </is>
      </c>
      <c r="C4" t="inlineStr">
        <is>
          <t>S(V1,V2) = S(V2,V1)</t>
        </is>
      </c>
      <c r="D4" t="inlineStr">
        <is>
          <t>Covarianza entre V1 y V2</t>
        </is>
      </c>
      <c r="E4" t="inlineStr">
        <is>
          <t>3/3</t>
        </is>
      </c>
    </row>
    <row r="5">
      <c r="A5" t="inlineStr">
        <is>
          <t>—</t>
        </is>
      </c>
      <c r="B5" t="inlineStr">
        <is>
          <t>Total de datos únicos en la matriz 2×2</t>
        </is>
      </c>
      <c r="C5" t="inlineStr">
        <is>
          <t>p×(p+1)/2</t>
        </is>
      </c>
      <c r="D5">
        <f> 2×(2+1)/2 = 2×3/2 = 3 (2 varianzas + 1 cov.)</f>
        <v/>
      </c>
      <c r="E5" t="inlineStr">
        <is>
          <t>3 datos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celda_Sigma</t>
        </is>
      </c>
      <c r="B1" s="1" t="inlineStr">
        <is>
          <t>formula_tesis</t>
        </is>
      </c>
      <c r="C1" s="1" t="inlineStr">
        <is>
          <t>significado</t>
        </is>
      </c>
      <c r="D1" s="1" t="inlineStr">
        <is>
          <t>matriz</t>
        </is>
      </c>
    </row>
    <row r="2">
      <c r="A2" t="inlineStr">
        <is>
          <t>Σ(V1,V2)</t>
        </is>
      </c>
      <c r="B2" t="inlineStr">
        <is>
          <t>λ₁ × λ₂</t>
        </is>
      </c>
      <c r="C2" t="inlineStr">
        <is>
          <t>Covarianza entre 1 y 2 según tu estructura</t>
        </is>
      </c>
      <c r="D2" t="inlineStr">
        <is>
          <t>Parte superior del dibujo (teoría)</t>
        </is>
      </c>
    </row>
    <row r="3">
      <c r="A3" t="inlineStr">
        <is>
          <t>Σ(V1,V1)</t>
        </is>
      </c>
      <c r="B3" t="inlineStr">
        <is>
          <t>λ₁² + σ₁</t>
        </is>
      </c>
      <c r="C3" t="inlineStr">
        <is>
          <t>Varianza del ítem 1 (fila/columna central de V1)</t>
        </is>
      </c>
      <c r="D3" t="inlineStr">
        <is>
          <t>Cov(V1,V1) = Var(V1)</t>
        </is>
      </c>
    </row>
    <row r="4">
      <c r="A4" t="inlineStr">
        <is>
          <t>Σ(V2,V2)</t>
        </is>
      </c>
      <c r="B4" t="inlineStr">
        <is>
          <t>λ₂² + σ₂</t>
        </is>
      </c>
      <c r="C4" t="inlineStr">
        <is>
          <t>Varianza del ítem 2 (segunda línea/diagonal)</t>
        </is>
      </c>
      <c r="D4" t="inlineStr">
        <is>
          <t>Cov(V2,V2) = Var(V2)</t>
        </is>
      </c>
    </row>
    <row r="5">
      <c r="A5" t="inlineStr">
        <is>
          <t>—</t>
        </is>
      </c>
      <c r="B5" t="inlineStr">
        <is>
          <t>Var(F) = 1 en la Σ teórica</t>
        </is>
      </c>
      <c r="C5" t="inlineStr">
        <is>
          <t>Por eso Cov = λ₁λ₂ sin ψ; en estimación ψ puede ≠ 1 → λ₁λ₂ψ</t>
        </is>
      </c>
      <c r="D5" t="inlineStr">
        <is>
          <t>Matriz_Sigma_Teoria vs Matriz_Implicita_MODEL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indice</t>
        </is>
      </c>
      <c r="C1" t="inlineStr">
        <is>
          <t>criterio</t>
        </is>
      </c>
      <c r="D1" t="inlineStr">
        <is>
          <t>destacado</t>
        </is>
      </c>
      <c r="E1" t="inlineStr">
        <is>
          <t>nota</t>
        </is>
      </c>
    </row>
    <row r="2">
      <c r="A2" t="inlineStr">
        <is>
          <t>Absoluto</t>
        </is>
      </c>
      <c r="B2" t="inlineStr">
        <is>
          <t>χ² y p-valor</t>
        </is>
      </c>
      <c r="C2" t="inlineStr">
        <is>
          <t>p &gt; 0.05</t>
        </is>
      </c>
      <c r="D2" t="inlineStr">
        <is>
          <t>Sí</t>
        </is>
      </c>
      <c r="E2" t="inlineStr">
        <is>
          <t>No rechazar el modelo por χ²</t>
        </is>
      </c>
    </row>
    <row r="3">
      <c r="A3" t="inlineStr">
        <is>
          <t>Absoluto</t>
        </is>
      </c>
      <c r="B3" t="inlineStr">
        <is>
          <t>χ² Satorra-Bentler y p</t>
        </is>
      </c>
      <c r="C3" t="inlineStr">
        <is>
          <t>p &gt; 0.05</t>
        </is>
      </c>
      <c r="D3" t="inlineStr">
        <is>
          <t>Sí</t>
        </is>
      </c>
      <c r="E3" t="inlineStr">
        <is>
          <t>Robusto ante no normalidad</t>
        </is>
      </c>
    </row>
    <row r="4">
      <c r="A4" t="inlineStr">
        <is>
          <t>Absoluto</t>
        </is>
      </c>
      <c r="B4" t="inlineStr">
        <is>
          <t>GFI</t>
        </is>
      </c>
      <c r="C4" t="inlineStr">
        <is>
          <t>&gt; 0.90</t>
        </is>
      </c>
      <c r="E4" t="inlineStr">
        <is>
          <t>Goodness of Fit Index</t>
        </is>
      </c>
    </row>
    <row r="5">
      <c r="A5" t="inlineStr">
        <is>
          <t>Absoluto</t>
        </is>
      </c>
      <c r="B5" t="inlineStr">
        <is>
          <t>RMSR</t>
        </is>
      </c>
      <c r="C5" t="inlineStr">
        <is>
          <t>Bajo (cercano a 0)</t>
        </is>
      </c>
      <c r="E5" t="inlineStr">
        <is>
          <t>Root Mean Squared Residual</t>
        </is>
      </c>
    </row>
    <row r="6">
      <c r="A6" t="inlineStr">
        <is>
          <t>Absoluto</t>
        </is>
      </c>
      <c r="B6" t="inlineStr">
        <is>
          <t>RMSEA</t>
        </is>
      </c>
      <c r="C6" t="inlineStr">
        <is>
          <t>&lt; 0.08</t>
        </is>
      </c>
      <c r="D6" t="inlineStr">
        <is>
          <t>Sí</t>
        </is>
      </c>
      <c r="E6" t="inlineStr">
        <is>
          <t>Error de aproximación; también &lt; 0.05 excelente</t>
        </is>
      </c>
    </row>
    <row r="7">
      <c r="A7" t="inlineStr">
        <is>
          <t>Incremental</t>
        </is>
      </c>
      <c r="B7" t="inlineStr">
        <is>
          <t>NFI (Δ)</t>
        </is>
      </c>
      <c r="C7" t="inlineStr">
        <is>
          <t>&gt; 0.90</t>
        </is>
      </c>
      <c r="E7" t="inlineStr">
        <is>
          <t>Normed Fit Index</t>
        </is>
      </c>
    </row>
    <row r="8">
      <c r="A8" t="inlineStr">
        <is>
          <t>Incremental</t>
        </is>
      </c>
      <c r="B8" t="inlineStr">
        <is>
          <t>NNFI / TLI (Δ)</t>
        </is>
      </c>
      <c r="C8" t="inlineStr">
        <is>
          <t>&gt; 0.90</t>
        </is>
      </c>
      <c r="E8" t="inlineStr">
        <is>
          <t>Non-Normed Fit Index</t>
        </is>
      </c>
    </row>
    <row r="9">
      <c r="A9" t="inlineStr">
        <is>
          <t>Incremental</t>
        </is>
      </c>
      <c r="B9" t="inlineStr">
        <is>
          <t>AGFI</t>
        </is>
      </c>
      <c r="C9" t="inlineStr">
        <is>
          <t>&gt; 0.90</t>
        </is>
      </c>
      <c r="E9" t="inlineStr">
        <is>
          <t>Adjusted GFI</t>
        </is>
      </c>
    </row>
    <row r="10">
      <c r="A10" t="inlineStr">
        <is>
          <t>Incremental</t>
        </is>
      </c>
      <c r="B10" t="inlineStr">
        <is>
          <t>CFI (Δ)</t>
        </is>
      </c>
      <c r="C10" t="inlineStr">
        <is>
          <t>&gt; 0.90 (ideal &gt; 0.95)</t>
        </is>
      </c>
      <c r="D10" t="inlineStr">
        <is>
          <t>Sí</t>
        </is>
      </c>
      <c r="E10" t="inlineStr">
        <is>
          <t>Comparative Fit Index</t>
        </is>
      </c>
    </row>
    <row r="11">
      <c r="A11" t="inlineStr">
        <is>
          <t>Parsimonioso</t>
        </is>
      </c>
      <c r="B11" t="inlineStr">
        <is>
          <t>χ² / gl</t>
        </is>
      </c>
      <c r="C11" t="inlineStr">
        <is>
          <t>≤ 5</t>
        </is>
      </c>
      <c r="D11" t="inlineStr">
        <is>
          <t>Sí</t>
        </is>
      </c>
      <c r="E11" t="inlineStr">
        <is>
          <t>Chi-cuadrado normado; gl = grados de libertad</t>
        </is>
      </c>
    </row>
    <row r="12">
      <c r="A12" t="inlineStr">
        <is>
          <t>Muestra</t>
        </is>
      </c>
      <c r="B12" t="inlineStr">
        <is>
          <t>Tamaño muestral N</t>
        </is>
      </c>
      <c r="C12" t="inlineStr">
        <is>
          <t>N ≥ 5 × parámetros (Hu &amp; Bentler)</t>
        </is>
      </c>
      <c r="E12" t="inlineStr">
        <is>
          <t>PPT también cita N ≥ 10 × parámetros (regla práctica ML)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tipo</t>
        </is>
      </c>
      <c r="C1" t="inlineStr">
        <is>
          <t>fijado</t>
        </is>
      </c>
    </row>
    <row r="2">
      <c r="A2" t="inlineStr">
        <is>
          <t>F</t>
        </is>
      </c>
      <c r="B2" t="inlineStr">
        <is>
          <t>Factor latente</t>
        </is>
      </c>
      <c r="C2" t="inlineStr">
        <is>
          <t>Var(F)=1</t>
        </is>
      </c>
    </row>
    <row r="3">
      <c r="A3" t="inlineStr">
        <is>
          <t>V1-V4</t>
        </is>
      </c>
      <c r="B3" t="inlineStr">
        <is>
          <t>Variables observadas</t>
        </is>
      </c>
      <c r="C3" t="inlineStr">
        <is>
          <t>Cargas λ₁…λ₄</t>
        </is>
      </c>
    </row>
    <row r="4">
      <c r="A4" t="inlineStr">
        <is>
          <t>E1-E4</t>
        </is>
      </c>
      <c r="B4" t="inlineStr">
        <is>
          <t>Errores de medida</t>
        </is>
      </c>
      <c r="C4" t="inlineStr">
        <is>
          <t>Varianzas θ₁…θ₄</t>
        </is>
      </c>
    </row>
    <row r="5">
      <c r="A5" t="inlineStr">
        <is>
          <t>10 ecuaciones</t>
        </is>
      </c>
      <c r="B5" t="inlineStr">
        <is>
          <t>Momentos en S</t>
        </is>
      </c>
      <c r="C5" t="inlineStr">
        <is>
          <t>4×5/2 = 10</t>
        </is>
      </c>
    </row>
    <row r="6">
      <c r="A6" t="inlineStr">
        <is>
          <t>8 incógnitas</t>
        </is>
      </c>
      <c r="B6" t="inlineStr">
        <is>
          <t>Parámetros libres</t>
        </is>
      </c>
      <c r="C6" t="inlineStr">
        <is>
          <t>λ₁…λ₄ y θ₁…θ₄</t>
        </is>
      </c>
    </row>
    <row r="7">
      <c r="A7" t="inlineStr">
        <is>
          <t>GL=2</t>
        </is>
      </c>
      <c r="B7" t="inlineStr">
        <is>
          <t>Grados de libertad</t>
        </is>
      </c>
      <c r="C7" t="inlineStr">
        <is>
          <t>10−8=2 &gt; 0 → sobreidentificado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paso</t>
        </is>
      </c>
      <c r="B1" t="inlineStr">
        <is>
          <t>detalle</t>
        </is>
      </c>
    </row>
    <row r="2">
      <c r="A2" t="inlineStr">
        <is>
          <t>1. DATA (500 casos)</t>
        </is>
      </c>
      <c r="B2" t="inlineStr">
        <is>
          <t>Calcular S: Var(1), Var(2), Cov(1,2) en Matriz_Covarianzas</t>
        </is>
      </c>
    </row>
    <row r="3">
      <c r="A3" t="inlineStr">
        <is>
          <t>2. Tres números</t>
        </is>
      </c>
      <c r="B3" t="inlineStr">
        <is>
          <t>p×(p+1)/2 = 2×3/2 = 3 momentos</t>
        </is>
      </c>
    </row>
    <row r="4">
      <c r="A4" t="inlineStr">
        <is>
          <t>3. Tres ecuaciones</t>
        </is>
      </c>
      <c r="B4" t="inlineStr">
        <is>
          <t>Var(1)=λ₁²+θ₁; Var(2)=λ₂²+θ₂; Cov(1,2)=λ₁λ₂</t>
        </is>
      </c>
    </row>
    <row r="5">
      <c r="A5" t="inlineStr">
        <is>
          <t>4. Cuatro incógnitas</t>
        </is>
      </c>
      <c r="B5" t="inlineStr">
        <is>
          <t>λ₁, λ₂, θ₁, θ₂ → 3 ecuaciones, 4 parámetros → subidentificado</t>
        </is>
      </c>
    </row>
    <row r="6">
      <c r="A6" t="inlineStr">
        <is>
          <t>5. Fijar λ₁=1</t>
        </is>
      </c>
      <c r="B6" t="inlineStr">
        <is>
          <t>Regla 6: una restricción → 3 ecuaciones, 3 desconocidos</t>
        </is>
      </c>
    </row>
    <row r="7">
      <c r="A7" t="inlineStr">
        <is>
          <t>6. Teoría = práctica</t>
        </is>
      </c>
      <c r="B7" t="inlineStr">
        <is>
          <t>Σ estimada debe igualar los 3 valores de S (ver Matriz_Residual)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detalle</t>
        </is>
      </c>
      <c r="C1" t="inlineStr">
        <is>
          <t>formula</t>
        </is>
      </c>
    </row>
    <row r="2">
      <c r="A2" t="inlineStr">
        <is>
          <t>Ejemplo 2×2 (V1 y V2)</t>
        </is>
      </c>
      <c r="B2" t="inlineStr">
        <is>
          <t>V1,V2 = ítems observados. 3 datos: Var(V1), Var(V2), Cov(V1,V2)=Cov(V2,V1)</t>
        </is>
      </c>
      <c r="C2" t="inlineStr">
        <is>
          <t>p×(p+1)/2 = 2×(2+1)/2 = 2×3/2 = 3</t>
        </is>
      </c>
    </row>
    <row r="3">
      <c r="A3" t="inlineStr">
        <is>
          <t>Matriz S (DATA)</t>
        </is>
      </c>
      <c r="B3" t="inlineStr">
        <is>
          <t>Matriz simétrica p×p: diagonal (varianzas) + covarianzas únicas</t>
        </is>
      </c>
      <c r="C3" t="inlineStr">
        <is>
          <t>Nº de datos = p×(p+1)/2  (no p×p; la mitad superior basta)</t>
        </is>
      </c>
    </row>
    <row r="4">
      <c r="A4" t="inlineStr">
        <is>
          <t>Covarianzas únicas</t>
        </is>
      </c>
      <c r="B4" t="inlineStr">
        <is>
          <t>Fuera de la diagonal (p=2 → solo cov₁₂)</t>
        </is>
      </c>
      <c r="C4" t="inlineStr">
        <is>
          <t>p×(p−1)/2 (p=2 → 1; p=5 → 10)</t>
        </is>
      </c>
    </row>
    <row r="5">
      <c r="A5" t="inlineStr">
        <is>
          <t>Ejemplo 5 ítems (p=5)</t>
        </is>
      </c>
      <c r="B5" t="inlineStr">
        <is>
          <t>15 datos: 5 varianzas + 10 covarianzas</t>
        </is>
      </c>
      <c r="C5" t="inlineStr">
        <is>
          <t>5×(5+1)/2 = 5×6/2 = 15</t>
        </is>
      </c>
    </row>
    <row r="6">
      <c r="A6" t="inlineStr">
        <is>
          <t>Parámetros libres (t)</t>
        </is>
      </c>
      <c r="B6" t="inlineStr">
        <is>
          <t>Cargas, regresiones, varianzas exógenas (reglas 1–4, 6)</t>
        </is>
      </c>
      <c r="C6" t="inlineStr">
        <is>
          <t>Contados por sem-tool en Parametros_Modelo</t>
        </is>
      </c>
    </row>
    <row r="7">
      <c r="A7" t="inlineStr">
        <is>
          <t>Grados de libertad (GL)</t>
        </is>
      </c>
      <c r="B7" t="inlineStr">
        <is>
          <t>Deben ser &gt; 0; si son demasiados, el modelo no ‘cuadra’ con S</t>
        </is>
      </c>
      <c r="C7" t="inlineStr">
        <is>
          <t>GL = p×(p+1)/2 − t  (mismo DoF que EQS/semopy)</t>
        </is>
      </c>
    </row>
    <row r="8">
      <c r="A8" t="inlineStr">
        <is>
          <t>Equilibrio</t>
        </is>
      </c>
      <c r="B8" t="inlineStr">
        <is>
          <t>GL positivo pero no casi igual a todos los momentos</t>
        </is>
      </c>
      <c r="C8" t="inlineStr">
        <is>
          <t>Advertencia si GL/momentos &gt; 75%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slide_aprox</t>
        </is>
      </c>
      <c r="B1" t="inlineStr">
        <is>
          <t>tema</t>
        </is>
      </c>
      <c r="C1" t="inlineStr">
        <is>
          <t>hoja_sem_tool</t>
        </is>
      </c>
    </row>
    <row r="2">
      <c r="A2" t="n">
        <v>1</v>
      </c>
      <c r="B2" t="inlineStr">
        <is>
          <t>Portada: EQS + Smart-PLS CB</t>
        </is>
      </c>
      <c r="C2" t="inlineStr">
        <is>
          <t>Curso_Frederic_SEM</t>
        </is>
      </c>
    </row>
    <row r="3">
      <c r="A3" t="n">
        <v>2</v>
      </c>
      <c r="B3" t="inlineStr">
        <is>
          <t>Índice del curso</t>
        </is>
      </c>
      <c r="C3" t="inlineStr">
        <is>
          <t>Curso_Frederic_SEM</t>
        </is>
      </c>
    </row>
    <row r="4">
      <c r="A4" t="n">
        <v>3</v>
      </c>
      <c r="B4" t="inlineStr">
        <is>
          <t>Objetivos: SEM por covarianzas</t>
        </is>
      </c>
      <c r="C4" t="inlineStr">
        <is>
          <t>Curso_Frederic_SEM</t>
        </is>
      </c>
    </row>
    <row r="5">
      <c r="A5" t="n">
        <v>4</v>
      </c>
      <c r="B5" t="inlineStr">
        <is>
          <t>DATA = MODEL + RESIDUAL</t>
        </is>
      </c>
      <c r="C5" t="inlineStr">
        <is>
          <t>Resumen_DATA_MODEL_RESIDUAL</t>
        </is>
      </c>
    </row>
    <row r="6">
      <c r="A6" t="n">
        <v>5</v>
      </c>
      <c r="B6" t="inlineStr">
        <is>
          <t>Análisis de varianza</t>
        </is>
      </c>
      <c r="C6" t="inlineStr">
        <is>
          <t>Regresion_ANOVA / R2</t>
        </is>
      </c>
    </row>
    <row r="7">
      <c r="A7" t="n">
        <v>6</v>
      </c>
      <c r="B7" t="inlineStr">
        <is>
          <t>Calidad → Satisfacción (varianza)</t>
        </is>
      </c>
      <c r="C7" t="inlineStr">
        <is>
          <t>Regresion_Structural</t>
        </is>
      </c>
    </row>
    <row r="8">
      <c r="A8" t="n">
        <v>7</v>
      </c>
      <c r="B8" t="inlineStr">
        <is>
          <t>Tipos de variables V, F, E, D</t>
        </is>
      </c>
      <c r="C8" t="inlineStr">
        <is>
          <t>Tipos_Variables, Diagrama_SEM</t>
        </is>
      </c>
    </row>
    <row r="9">
      <c r="A9" t="n">
        <v>8</v>
      </c>
      <c r="B9" t="inlineStr">
        <is>
          <t>Coeficientes estandarizados / no estandarizados</t>
        </is>
      </c>
      <c r="C9" t="inlineStr">
        <is>
          <t>Paths_Estandarizados, Paths_NoEstandarizados</t>
        </is>
      </c>
    </row>
    <row r="10">
      <c r="A10" t="n">
        <v>9</v>
      </c>
      <c r="B10" t="inlineStr">
        <is>
          <t>Modelo F1 Calidad → F2 Satisfacción (V1–V5)</t>
        </is>
      </c>
      <c r="C10" t="inlineStr">
        <is>
          <t>Diagrama_SEM, Modelo_CB</t>
        </is>
      </c>
    </row>
    <row r="11">
      <c r="A11" t="n">
        <v>10</v>
      </c>
      <c r="B11" t="inlineStr">
        <is>
          <t>Dependientes vs independientes</t>
        </is>
      </c>
      <c r="C11" t="inlineStr">
        <is>
          <t>Tipos_Variables</t>
        </is>
      </c>
    </row>
    <row r="12">
      <c r="A12" t="n">
        <v>11</v>
      </c>
      <c r="B12" t="inlineStr">
        <is>
          <t>Ecuaciones de medida y estructural</t>
        </is>
      </c>
      <c r="C12" t="inlineStr">
        <is>
          <t>Ecuaciones_Structurales</t>
        </is>
      </c>
    </row>
    <row r="13">
      <c r="A13" t="n">
        <v>12</v>
      </c>
      <c r="B13" t="inlineStr">
        <is>
          <t>Reglas parámetros 1–6</t>
        </is>
      </c>
      <c r="C13" t="inlineStr">
        <is>
          <t>Reglas_Parametros</t>
        </is>
      </c>
    </row>
    <row r="14">
      <c r="A14" t="n">
        <v>13</v>
      </c>
      <c r="B14" t="inlineStr">
        <is>
          <t>Definición del modelo (* libre, 1 fijo)</t>
        </is>
      </c>
      <c r="C14" t="inlineStr">
        <is>
          <t>Modelo_CB, Parametros_Modelo</t>
        </is>
      </c>
    </row>
    <row r="15">
      <c r="A15" t="n">
        <v>14</v>
      </c>
      <c r="B15" t="inlineStr">
        <is>
          <t>11 parámetros, GL = 5×6/2 − 11 = 4</t>
        </is>
      </c>
      <c r="C15" t="inlineStr">
        <is>
          <t>Identificacion_GL</t>
        </is>
      </c>
    </row>
    <row r="16">
      <c r="A16" t="n">
        <v>15</v>
      </c>
      <c r="B16" t="inlineStr">
        <is>
          <t>Covarianza E1–E3 (−1 gl)</t>
        </is>
      </c>
      <c r="C16" t="inlineStr">
        <is>
          <t>Modelo_CB (COV)</t>
        </is>
      </c>
    </row>
    <row r="17">
      <c r="A17" t="n">
        <v>16</v>
      </c>
      <c r="B17" t="inlineStr">
        <is>
          <t>Leyes de covarianzas 1–4</t>
        </is>
      </c>
      <c r="C17" t="inlineStr">
        <is>
          <t>Leyes_Covarianzas</t>
        </is>
      </c>
    </row>
    <row r="18">
      <c r="A18" t="n">
        <v>17</v>
      </c>
      <c r="B18" t="inlineStr">
        <is>
          <t>Model fitness: λ²+θ, λᵢλⱼ, matriz Σ vs S</t>
        </is>
      </c>
      <c r="C18" t="inlineStr">
        <is>
          <t>Hipotesis_Covarianzas, Matriz_Sigma_Teoria</t>
        </is>
      </c>
    </row>
    <row r="19">
      <c r="A19" t="n">
        <v>18</v>
      </c>
      <c r="B19" t="inlineStr">
        <is>
          <t>2 ítems: subidentificado (3 ec., 4 inc.)</t>
        </is>
      </c>
      <c r="C19" t="inlineStr">
        <is>
          <t>Sistema_3_Ecuaciones</t>
        </is>
      </c>
    </row>
    <row r="20">
      <c r="A20" t="n">
        <v>19</v>
      </c>
      <c r="B20" t="inlineStr">
        <is>
          <t>3 ítems: just-identificado (GL=0)</t>
        </is>
      </c>
      <c r="C20" t="inlineStr">
        <is>
          <t>Identificacion_2_Items (GL=0 si p=3)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ley</t>
        </is>
      </c>
      <c r="B1" s="1" t="inlineStr">
        <is>
          <t>formula</t>
        </is>
      </c>
      <c r="C1" s="1" t="inlineStr">
        <is>
          <t>uso_en_sem</t>
        </is>
      </c>
    </row>
    <row r="2">
      <c r="A2" t="n">
        <v>1</v>
      </c>
      <c r="B2" t="inlineStr">
        <is>
          <t>Cov(X,X) = Var(X)</t>
        </is>
      </c>
      <c r="C2" t="inlineStr">
        <is>
          <t>Diagonal de S</t>
        </is>
      </c>
    </row>
    <row r="3">
      <c r="A3" t="n">
        <v>2</v>
      </c>
      <c r="B3" t="inlineStr">
        <is>
          <t>Cov(aX+bY, cZ+dU) = ac·Cov(X,Z)+ad·Cov(X,U)+bc·Cov(Y,Z)+bd·Cov(Y,U)</t>
        </is>
      </c>
      <c r="C3" t="inlineStr">
        <is>
          <t>Desarrollo de Σ implícita</t>
        </is>
      </c>
    </row>
    <row r="4">
      <c r="A4" t="n">
        <v>3</v>
      </c>
      <c r="B4" t="inlineStr">
        <is>
          <t>Var(aX+bY) = a²Var(X)+b²Var(Y)+2ab·Cov(X,Y)</t>
        </is>
      </c>
      <c r="C4" t="inlineStr">
        <is>
          <t>Varianza de ítem = λ²ψ+θ</t>
        </is>
      </c>
    </row>
    <row r="5">
      <c r="A5" t="n">
        <v>4</v>
      </c>
      <c r="B5" t="inlineStr">
        <is>
          <t>Si X⊥Y: Var(aX+bY) = a²Var(X)+b²Var(Y)</t>
        </is>
      </c>
      <c r="C5" t="inlineStr">
        <is>
          <t>F y errores no correlacionados → λ₁λ₂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grados_libertad</t>
        </is>
      </c>
      <c r="C1" s="1" t="inlineStr">
        <is>
          <t>soluciones</t>
        </is>
      </c>
      <c r="D1" s="1" t="inlineStr">
        <is>
          <t>utilidad</t>
        </is>
      </c>
      <c r="E1" s="1" t="inlineStr">
        <is>
          <t>ejemplo_ppt</t>
        </is>
      </c>
    </row>
    <row r="2">
      <c r="A2" t="inlineStr">
        <is>
          <t>Subidentificado</t>
        </is>
      </c>
      <c r="B2" t="inlineStr">
        <is>
          <t>&lt; 0</t>
        </is>
      </c>
      <c r="C2" t="inlineStr">
        <is>
          <t>Infinitas</t>
        </is>
      </c>
      <c r="D2" t="inlineStr">
        <is>
          <t>No sirve</t>
        </is>
      </c>
      <c r="E2" t="inlineStr">
        <is>
          <t>2 ítems, 4 parámetros, 3 ecuaciones</t>
        </is>
      </c>
    </row>
    <row r="3">
      <c r="A3" t="inlineStr">
        <is>
          <t>Just-identificado</t>
        </is>
      </c>
      <c r="B3">
        <f> 0</f>
        <v/>
      </c>
      <c r="C3" t="inlineStr">
        <is>
          <t>Única</t>
        </is>
      </c>
      <c r="D3" t="inlineStr">
        <is>
          <t>No contrastable (no se puede rechazar)</t>
        </is>
      </c>
      <c r="E3" t="inlineStr">
        <is>
          <t>3 ítems, 6 parámetros, 6 ecuaciones</t>
        </is>
      </c>
    </row>
    <row r="4">
      <c r="A4" t="inlineStr">
        <is>
          <t>Sobreidentificado</t>
        </is>
      </c>
      <c r="B4" t="inlineStr">
        <is>
          <t>&gt; 0</t>
        </is>
      </c>
      <c r="C4" t="inlineStr">
        <is>
          <t>Contrastable</t>
        </is>
      </c>
      <c r="D4" t="inlineStr">
        <is>
          <t>Objetivo del SEM (comparar S y Σ)</t>
        </is>
      </c>
      <c r="E4" t="inlineStr">
        <is>
          <t>4 ítems un factor: GL=2; modelo UIC: GL=4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tipo</t>
        </is>
      </c>
      <c r="C1" t="inlineStr">
        <is>
          <t>ecuacion</t>
        </is>
      </c>
    </row>
    <row r="2">
      <c r="A2" t="inlineStr">
        <is>
          <t>F1</t>
        </is>
      </c>
      <c r="B2" t="inlineStr">
        <is>
          <t>Latente exógeno</t>
        </is>
      </c>
      <c r="C2" t="inlineStr">
        <is>
          <t>Var(F1) parámetro o fijada=1</t>
        </is>
      </c>
    </row>
    <row r="3">
      <c r="A3" t="inlineStr">
        <is>
          <t>F2</t>
        </is>
      </c>
      <c r="B3" t="inlineStr">
        <is>
          <t>Latente endógeno</t>
        </is>
      </c>
      <c r="C3" t="inlineStr">
        <is>
          <t>F2 = β·F1 + D2</t>
        </is>
      </c>
    </row>
    <row r="4">
      <c r="A4" t="inlineStr">
        <is>
          <t>V1–V3</t>
        </is>
      </c>
      <c r="B4" t="inlineStr">
        <is>
          <t>Ítems calidad</t>
        </is>
      </c>
      <c r="C4" t="inlineStr">
        <is>
          <t>Vi = αi·F1 + Ei</t>
        </is>
      </c>
    </row>
    <row r="5">
      <c r="A5" t="inlineStr">
        <is>
          <t>V4–V5</t>
        </is>
      </c>
      <c r="B5" t="inlineStr">
        <is>
          <t>Ítems satisfacción</t>
        </is>
      </c>
      <c r="C5" t="inlineStr">
        <is>
          <t>Vi = αi·F2 + Ei</t>
        </is>
      </c>
    </row>
    <row r="6">
      <c r="A6" t="inlineStr">
        <is>
          <t>E1–E5</t>
        </is>
      </c>
      <c r="B6" t="inlineStr">
        <is>
          <t>Errores medida</t>
        </is>
      </c>
      <c r="C6" t="inlineStr">
        <is>
          <t>Var(Ei) parámetro (regla 1)</t>
        </is>
      </c>
    </row>
    <row r="7">
      <c r="A7" t="inlineStr">
        <is>
          <t>D2</t>
        </is>
      </c>
      <c r="B7" t="inlineStr">
        <is>
          <t>Perturbación</t>
        </is>
      </c>
      <c r="C7" t="inlineStr">
        <is>
          <t>Var(D2) parámetro</t>
        </is>
      </c>
    </row>
    <row r="8">
      <c r="A8" t="inlineStr">
        <is>
          <t>Conteo PPT</t>
        </is>
      </c>
      <c r="B8" t="inlineStr">
        <is>
          <t>p=5 ítems observados</t>
        </is>
      </c>
      <c r="C8" t="inlineStr">
        <is>
          <t>11 parámetros; GL = 5×6/2 − 11 = 4</t>
        </is>
      </c>
    </row>
    <row r="9">
      <c r="A9" t="inlineStr">
        <is>
          <t>sem-tool</t>
        </is>
      </c>
      <c r="B9" t="inlineStr">
        <is>
          <t>Mínimo 3 ítems/constructo</t>
        </is>
      </c>
      <c r="C9" t="inlineStr">
        <is>
          <t>Use CAL1–3 + SAT1–3 en Datos; fixed=1 en primer MEAS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detalle</t>
        </is>
      </c>
    </row>
    <row r="2">
      <c r="A2" t="inlineStr">
        <is>
          <t>Objetivo</t>
        </is>
      </c>
      <c r="B2" t="inlineStr">
        <is>
          <t>Minimizar diferencia entre S (datos) y Σ (modelo)</t>
        </is>
      </c>
    </row>
    <row r="3">
      <c r="A3" t="inlineStr">
        <is>
          <t>T = (n−1)·Fmin</t>
        </is>
      </c>
      <c r="B3" t="inlineStr">
        <is>
          <t>T ~ χ² con los mismos gl del modelo</t>
        </is>
      </c>
    </row>
    <row r="4">
      <c r="A4" t="inlineStr">
        <is>
          <t>H₀</t>
        </is>
      </c>
      <c r="B4" t="inlineStr">
        <is>
          <t>No hay diferencia modelo–datos (modelo ajusta)</t>
        </is>
      </c>
    </row>
    <row r="5">
      <c r="A5" t="inlineStr">
        <is>
          <t>H₁</t>
        </is>
      </c>
      <c r="B5" t="inlineStr">
        <is>
          <t>Hay diferencia (modelo no ajusta)</t>
        </is>
      </c>
    </row>
    <row r="6">
      <c r="A6" t="inlineStr">
        <is>
          <t>Buen ajuste</t>
        </is>
      </c>
      <c r="B6" t="inlineStr">
        <is>
          <t>χ² bajo, p &gt; 0.05 (cuidado: N grande infla χ²)</t>
        </is>
      </c>
    </row>
    <row r="7">
      <c r="A7" t="inlineStr">
        <is>
          <t>Muestra (regla PPT)</t>
        </is>
      </c>
      <c r="B7" t="inlineStr">
        <is>
          <t>N ≥ 10×parámetros (regla práctica) o ≥ 5×parámetros (Hu &amp; Bentler)</t>
        </is>
      </c>
    </row>
    <row r="8">
      <c r="A8" t="inlineStr">
        <is>
          <t>Método estimación</t>
        </is>
      </c>
      <c r="B8" t="inlineStr">
        <is>
          <t>ML (semopy/EQS), también GLS y ULS en teoría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eqs_output</t>
        </is>
      </c>
      <c r="B1" t="inlineStr">
        <is>
          <t>smartpls_output</t>
        </is>
      </c>
      <c r="C1" t="inlineStr">
        <is>
          <t>sem_tool</t>
        </is>
      </c>
    </row>
    <row r="2">
      <c r="A2" t="inlineStr">
        <is>
          <t>GOODNESS OF FIT SUMMARY / CHI-SQUARE / PROBABILITY</t>
        </is>
      </c>
      <c r="B2" t="inlineStr">
        <is>
          <t>No χ² global (enfoque varianza)</t>
        </is>
      </c>
      <c r="C2" t="inlineStr">
        <is>
          <t>Fit_Indices + Criterios_Ajuste (CB); Resumen_SmartPLS (PLS)</t>
        </is>
      </c>
    </row>
    <row r="3">
      <c r="A3" t="inlineStr">
        <is>
          <t>MEASUREMENT EQUATIONS (V = λ·F + E, @ significativo)</t>
        </is>
      </c>
      <c r="B3" t="inlineStr">
        <is>
          <t>Outer loadings + bootstrap</t>
        </is>
      </c>
      <c r="C3" t="inlineStr">
        <is>
          <t>Loadings / Outer_Loadings, Bootstraps</t>
        </is>
      </c>
    </row>
    <row r="4">
      <c r="A4" t="inlineStr">
        <is>
          <t>STRUCTURAL EQUATIONS, R²</t>
        </is>
      </c>
      <c r="B4" t="inlineStr">
        <is>
          <t>Path coefficients, R²</t>
        </is>
      </c>
      <c r="C4" t="inlineStr">
        <is>
          <t>Paths, R2, Regresion_Structural</t>
        </is>
      </c>
    </row>
    <row r="5">
      <c r="A5" t="inlineStr">
        <is>
          <t>LAGRANGE MULTIPLIER TEST</t>
        </is>
      </c>
      <c r="B5" t="inlineStr">
        <is>
          <t>—</t>
        </is>
      </c>
      <c r="C5" t="inlineStr">
        <is>
          <t>No implementado (MVP); revise modificaciones en Modelo_CB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</t>
        </is>
      </c>
      <c r="B1" t="inlineStr">
        <is>
          <t>criterio_clasico</t>
        </is>
      </c>
      <c r="C1" t="inlineStr">
        <is>
          <t>criterio_moderno</t>
        </is>
      </c>
      <c r="D1" t="inlineStr">
        <is>
          <t>prioridad</t>
        </is>
      </c>
    </row>
    <row r="2">
      <c r="A2" t="inlineStr">
        <is>
          <t>χ² Satorra-Bentler p</t>
        </is>
      </c>
      <c r="B2" t="inlineStr">
        <is>
          <t>p &gt; 0.05</t>
        </is>
      </c>
      <c r="C2" t="inlineStr">
        <is>
          <t>p &gt; 0.05 (preferir SB si no hay normalidad)</t>
        </is>
      </c>
      <c r="D2" t="inlineStr">
        <is>
          <t>Alta</t>
        </is>
      </c>
    </row>
    <row r="3">
      <c r="A3" t="inlineStr">
        <is>
          <t>CFI</t>
        </is>
      </c>
      <c r="B3" t="inlineStr">
        <is>
          <t>&gt; 0.90</t>
        </is>
      </c>
      <c r="C3" t="inlineStr">
        <is>
          <t>≥ 0.95</t>
        </is>
      </c>
      <c r="D3" t="inlineStr">
        <is>
          <t>Alta</t>
        </is>
      </c>
    </row>
    <row r="4">
      <c r="A4" t="inlineStr">
        <is>
          <t>TLI (NNFI)</t>
        </is>
      </c>
      <c r="B4" t="inlineStr">
        <is>
          <t>&gt; 0.90</t>
        </is>
      </c>
      <c r="C4" t="inlineStr">
        <is>
          <t>≥ 0.95</t>
        </is>
      </c>
      <c r="D4" t="inlineStr">
        <is>
          <t>Alta</t>
        </is>
      </c>
    </row>
    <row r="5">
      <c r="A5" t="inlineStr">
        <is>
          <t>RMSEA</t>
        </is>
      </c>
      <c r="B5" t="inlineStr">
        <is>
          <t>&lt; 0.08</t>
        </is>
      </c>
      <c r="C5" t="inlineStr">
        <is>
          <t>≤ 0.06 (aceptable ≤ 0.08)</t>
        </is>
      </c>
      <c r="D5" t="inlineStr">
        <is>
          <t>Alta</t>
        </is>
      </c>
    </row>
    <row r="6">
      <c r="A6" t="inlineStr">
        <is>
          <t>RMSR / SRMR</t>
        </is>
      </c>
      <c r="B6" t="inlineStr">
        <is>
          <t>bajo</t>
        </is>
      </c>
      <c r="C6" t="inlineStr">
        <is>
          <t>≤ 0.08</t>
        </is>
      </c>
      <c r="D6" t="inlineStr">
        <is>
          <t>Media</t>
        </is>
      </c>
    </row>
    <row r="7">
      <c r="A7" t="inlineStr">
        <is>
          <t>χ² / gl</t>
        </is>
      </c>
      <c r="B7" t="inlineStr">
        <is>
          <t>≤ 5</t>
        </is>
      </c>
      <c r="C7" t="inlineStr">
        <is>
          <t>≤ 3 (más estricto)</t>
        </is>
      </c>
      <c r="D7" t="inlineStr">
        <is>
          <t>Media</t>
        </is>
      </c>
    </row>
    <row r="8">
      <c r="A8" t="inlineStr">
        <is>
          <t>N</t>
        </is>
      </c>
      <c r="B8" t="inlineStr">
        <is>
          <t>≥ 5×parámetros</t>
        </is>
      </c>
      <c r="C8" t="inlineStr">
        <is>
          <t>≥ 10×parámetros; CB-SEM ideal N≥200</t>
        </is>
      </c>
      <c r="D8" t="inlineStr">
        <is>
          <t>Alta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situacion</t>
        </is>
      </c>
      <c r="B1" t="inlineStr">
        <is>
          <t>recomendacion</t>
        </is>
      </c>
      <c r="C1" t="inlineStr">
        <is>
          <t>sem_tool</t>
        </is>
      </c>
    </row>
    <row r="2">
      <c r="A2" t="inlineStr">
        <is>
          <t>Normalidad multivariada dudosa, CB-SEM</t>
        </is>
      </c>
      <c r="B2" t="inlineStr">
        <is>
          <t>χ² Satorra-Bentler + CFI/TLI/RMSEA modernos</t>
        </is>
      </c>
      <c r="C2" t="inlineStr">
        <is>
          <t>Criterios_Ajuste_Modernos, Informe_Ajuste_EQS</t>
        </is>
      </c>
    </row>
    <row r="3">
      <c r="A3" t="inlineStr">
        <is>
          <t>Muestra pequeña o modelo predictivo</t>
        </is>
      </c>
      <c r="B3" t="inlineStr">
        <is>
          <t>PLS-SEM (SmartPLS): bootstrap, AVE, HTMT</t>
        </is>
      </c>
      <c r="C3" t="inlineStr">
        <is>
          <t>sem-tool pls</t>
        </is>
      </c>
    </row>
    <row r="4">
      <c r="A4" t="inlineStr">
        <is>
          <t>Teoría covarianzas / tesis UIC</t>
        </is>
      </c>
      <c r="B4" t="inlineStr">
        <is>
          <t>CB-SEM: S vs Σ, identificación, GL&gt;0</t>
        </is>
      </c>
      <c r="C4" t="inlineStr">
        <is>
          <t>sem-tool cb + hojas Frederic</t>
        </is>
      </c>
    </row>
    <row r="5">
      <c r="A5" t="inlineStr">
        <is>
          <t>Reporte para revisor</t>
        </is>
      </c>
      <c r="B5" t="inlineStr">
        <is>
          <t>Informe EQS + criterios ≥0.95 / RMSEA≤0.06</t>
        </is>
      </c>
      <c r="C5" t="inlineStr">
        <is>
          <t>Informe_Ajuste_EQS + Criterios_Ajuste_Modernos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  <c r="C1" t="inlineStr">
        <is>
          <t>comentario</t>
        </is>
      </c>
    </row>
    <row r="2">
      <c r="A2" t="inlineStr">
        <is>
          <t>casos</t>
        </is>
      </c>
      <c r="B2" t="n">
        <v>20</v>
      </c>
      <c r="C2" t="inlineStr">
        <is>
          <t>Ejemplo pedagógico; para tesis use N&gt;=100</t>
        </is>
      </c>
    </row>
    <row r="3">
      <c r="A3" t="inlineStr">
        <is>
          <t>modelo</t>
        </is>
      </c>
      <c r="B3" t="inlineStr">
        <is>
          <t>Calidad → Satisfaccion</t>
        </is>
      </c>
      <c r="C3" t="inlineStr">
        <is>
          <t>CB-SEM y PLS-SEM en sem-tool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observaciones_minimas</t>
        </is>
      </c>
      <c r="B2" t="n">
        <v>15</v>
      </c>
    </row>
    <row r="3">
      <c r="A3" t="inlineStr">
        <is>
          <t>bootstraps</t>
        </is>
      </c>
      <c r="B3" t="n">
        <v>200</v>
      </c>
    </row>
    <row r="4">
      <c r="A4" t="inlineStr">
        <is>
          <t>procesos_bootstrap</t>
        </is>
      </c>
      <c r="B4" t="n">
        <v>2</v>
      </c>
    </row>
    <row r="5">
      <c r="A5" t="inlineStr">
        <is>
          <t>contexto</t>
        </is>
      </c>
      <c r="B5" t="inlineStr">
        <is>
          <t>Encuesta restaurante — calidad percibida y satisfacción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observaciones</t>
        </is>
      </c>
      <c r="C1" s="1" t="inlineStr">
        <is>
          <t>observaciones_listwise</t>
        </is>
      </c>
      <c r="D1" s="1" t="inlineStr">
        <is>
          <t>cumple_muestra_minima</t>
        </is>
      </c>
      <c r="E1" s="1" t="inlineStr">
        <is>
          <t>media</t>
        </is>
      </c>
      <c r="F1" s="1" t="inlineStr">
        <is>
          <t>varianza</t>
        </is>
      </c>
      <c r="G1" s="1" t="inlineStr">
        <is>
          <t>desviacion</t>
        </is>
      </c>
    </row>
    <row r="2">
      <c r="A2" t="inlineStr">
        <is>
          <t>cliente_id</t>
        </is>
      </c>
      <c r="B2" t="n">
        <v>20</v>
      </c>
      <c r="C2" t="n">
        <v>20</v>
      </c>
      <c r="D2" t="b">
        <v>1</v>
      </c>
      <c r="E2" t="n">
        <v>10.5</v>
      </c>
      <c r="F2" t="n">
        <v>35</v>
      </c>
      <c r="G2" t="n">
        <v>5.916079783099616</v>
      </c>
    </row>
    <row r="3">
      <c r="A3" t="inlineStr">
        <is>
          <t>CAL1</t>
        </is>
      </c>
      <c r="B3" t="n">
        <v>20</v>
      </c>
      <c r="C3" t="n">
        <v>20</v>
      </c>
      <c r="D3" t="b">
        <v>1</v>
      </c>
      <c r="E3" t="n">
        <v>3</v>
      </c>
      <c r="F3" t="n">
        <v>2.105263157894737</v>
      </c>
      <c r="G3" t="n">
        <v>1.450952500220023</v>
      </c>
    </row>
    <row r="4">
      <c r="A4" t="inlineStr">
        <is>
          <t>CAL2</t>
        </is>
      </c>
      <c r="B4" t="n">
        <v>20</v>
      </c>
      <c r="C4" t="n">
        <v>20</v>
      </c>
      <c r="D4" t="b">
        <v>1</v>
      </c>
      <c r="E4" t="n">
        <v>3</v>
      </c>
      <c r="F4" t="n">
        <v>2.105263157894737</v>
      </c>
      <c r="G4" t="n">
        <v>1.450952500220023</v>
      </c>
    </row>
    <row r="5">
      <c r="A5" t="inlineStr">
        <is>
          <t>CAL3</t>
        </is>
      </c>
      <c r="B5" t="n">
        <v>20</v>
      </c>
      <c r="C5" t="n">
        <v>20</v>
      </c>
      <c r="D5" t="b">
        <v>1</v>
      </c>
      <c r="E5" t="n">
        <v>3</v>
      </c>
      <c r="F5" t="n">
        <v>2.105263157894737</v>
      </c>
      <c r="G5" t="n">
        <v>1.450952500220023</v>
      </c>
    </row>
    <row r="6">
      <c r="A6" t="inlineStr">
        <is>
          <t>SAT1</t>
        </is>
      </c>
      <c r="B6" t="n">
        <v>20</v>
      </c>
      <c r="C6" t="n">
        <v>20</v>
      </c>
      <c r="D6" t="b">
        <v>1</v>
      </c>
      <c r="E6" t="n">
        <v>3</v>
      </c>
      <c r="F6" t="n">
        <v>2.105263157894737</v>
      </c>
      <c r="G6" t="n">
        <v>1.450952500220023</v>
      </c>
    </row>
    <row r="7">
      <c r="A7" t="inlineStr">
        <is>
          <t>SAT2</t>
        </is>
      </c>
      <c r="B7" t="n">
        <v>20</v>
      </c>
      <c r="C7" t="n">
        <v>20</v>
      </c>
      <c r="D7" t="b">
        <v>1</v>
      </c>
      <c r="E7" t="n">
        <v>3</v>
      </c>
      <c r="F7" t="n">
        <v>2.105263157894737</v>
      </c>
      <c r="G7" t="n">
        <v>1.450952500220023</v>
      </c>
    </row>
    <row r="8">
      <c r="A8" t="inlineStr">
        <is>
          <t>SAT3</t>
        </is>
      </c>
      <c r="B8" t="n">
        <v>20</v>
      </c>
      <c r="C8" t="n">
        <v>20</v>
      </c>
      <c r="D8" t="b">
        <v>1</v>
      </c>
      <c r="E8" t="n">
        <v>3</v>
      </c>
      <c r="F8" t="n">
        <v>2.105263157894737</v>
      </c>
      <c r="G8" t="n">
        <v>1.450952500220023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cliente_id</t>
        </is>
      </c>
      <c r="C1" s="1" t="inlineStr">
        <is>
          <t>CAL1</t>
        </is>
      </c>
      <c r="D1" s="1" t="inlineStr">
        <is>
          <t>CAL2</t>
        </is>
      </c>
      <c r="E1" s="1" t="inlineStr">
        <is>
          <t>CAL3</t>
        </is>
      </c>
      <c r="F1" s="1" t="inlineStr">
        <is>
          <t>SAT1</t>
        </is>
      </c>
      <c r="G1" s="1" t="inlineStr">
        <is>
          <t>SAT2</t>
        </is>
      </c>
      <c r="H1" s="1" t="inlineStr">
        <is>
          <t>SAT3</t>
        </is>
      </c>
    </row>
    <row r="2">
      <c r="A2" s="1" t="inlineStr">
        <is>
          <t>cliente_id</t>
        </is>
      </c>
      <c r="B2" t="n">
        <v>35</v>
      </c>
      <c r="C2" t="n">
        <v>-1.631578947368421</v>
      </c>
      <c r="D2" t="n">
        <v>-1.631578947368421</v>
      </c>
      <c r="E2" t="n">
        <v>-2.368421052631579</v>
      </c>
      <c r="F2" t="n">
        <v>-0.5789473684210527</v>
      </c>
      <c r="G2" t="n">
        <v>-0.3684210526315789</v>
      </c>
      <c r="H2" t="n">
        <v>-2.210526315789473</v>
      </c>
    </row>
    <row r="3">
      <c r="A3" s="1" t="inlineStr">
        <is>
          <t>CAL1</t>
        </is>
      </c>
      <c r="B3" t="n">
        <v>-1.631578947368421</v>
      </c>
      <c r="C3" t="n">
        <v>2.105263157894737</v>
      </c>
      <c r="D3" t="n">
        <v>1.105263157894737</v>
      </c>
      <c r="E3" t="n">
        <v>1.157894736842105</v>
      </c>
      <c r="F3" t="n">
        <v>1.736842105263158</v>
      </c>
      <c r="G3" t="n">
        <v>1.105263157894737</v>
      </c>
      <c r="H3" t="n">
        <v>0.7894736842105263</v>
      </c>
    </row>
    <row r="4">
      <c r="A4" s="1" t="inlineStr">
        <is>
          <t>CAL2</t>
        </is>
      </c>
      <c r="B4" t="n">
        <v>-1.631578947368421</v>
      </c>
      <c r="C4" t="n">
        <v>1.105263157894737</v>
      </c>
      <c r="D4" t="n">
        <v>2.105263157894737</v>
      </c>
      <c r="E4" t="n">
        <v>1.263157894736842</v>
      </c>
      <c r="F4" t="n">
        <v>0.7894736842105263</v>
      </c>
      <c r="G4" t="n">
        <v>0.8947368421052631</v>
      </c>
      <c r="H4" t="n">
        <v>1.263157894736842</v>
      </c>
    </row>
    <row r="5">
      <c r="A5" s="1" t="inlineStr">
        <is>
          <t>CAL3</t>
        </is>
      </c>
      <c r="B5" t="n">
        <v>-2.368421052631579</v>
      </c>
      <c r="C5" t="n">
        <v>1.157894736842105</v>
      </c>
      <c r="D5" t="n">
        <v>1.263157894736842</v>
      </c>
      <c r="E5" t="n">
        <v>2.105263157894737</v>
      </c>
      <c r="F5" t="n">
        <v>1.052631578947368</v>
      </c>
      <c r="G5" t="n">
        <v>0.5789473684210527</v>
      </c>
      <c r="H5" t="n">
        <v>1</v>
      </c>
    </row>
    <row r="6">
      <c r="A6" s="1" t="inlineStr">
        <is>
          <t>SAT1</t>
        </is>
      </c>
      <c r="B6" t="n">
        <v>-0.5789473684210527</v>
      </c>
      <c r="C6" t="n">
        <v>1.736842105263158</v>
      </c>
      <c r="D6" t="n">
        <v>0.7894736842105263</v>
      </c>
      <c r="E6" t="n">
        <v>1.052631578947368</v>
      </c>
      <c r="F6" t="n">
        <v>2.105263157894737</v>
      </c>
      <c r="G6" t="n">
        <v>1.263157894736842</v>
      </c>
      <c r="H6" t="n">
        <v>0.4736842105263158</v>
      </c>
    </row>
    <row r="7">
      <c r="A7" s="1" t="inlineStr">
        <is>
          <t>SAT2</t>
        </is>
      </c>
      <c r="B7" t="n">
        <v>-0.3684210526315789</v>
      </c>
      <c r="C7" t="n">
        <v>1.105263157894737</v>
      </c>
      <c r="D7" t="n">
        <v>0.8947368421052631</v>
      </c>
      <c r="E7" t="n">
        <v>0.5789473684210527</v>
      </c>
      <c r="F7" t="n">
        <v>1.263157894736842</v>
      </c>
      <c r="G7" t="n">
        <v>2.105263157894737</v>
      </c>
      <c r="H7" t="n">
        <v>0.5263157894736842</v>
      </c>
    </row>
    <row r="8">
      <c r="A8" s="1" t="inlineStr">
        <is>
          <t>SAT3</t>
        </is>
      </c>
      <c r="B8" t="n">
        <v>-2.210526315789473</v>
      </c>
      <c r="C8" t="n">
        <v>0.7894736842105263</v>
      </c>
      <c r="D8" t="n">
        <v>1.263157894736842</v>
      </c>
      <c r="E8" t="n">
        <v>1</v>
      </c>
      <c r="F8" t="n">
        <v>0.4736842105263158</v>
      </c>
      <c r="G8" t="n">
        <v>0.5263157894736842</v>
      </c>
      <c r="H8" t="n">
        <v>2.105263157894737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variable_1</t>
        </is>
      </c>
      <c r="C1" s="1" t="inlineStr">
        <is>
          <t>variable_2</t>
        </is>
      </c>
      <c r="D1" s="1" t="inlineStr">
        <is>
          <t>tipo</t>
        </is>
      </c>
      <c r="E1" s="1" t="inlineStr">
        <is>
          <t>covarianza</t>
        </is>
      </c>
      <c r="F1" s="1" t="inlineStr">
        <is>
          <t>correlacion</t>
        </is>
      </c>
    </row>
    <row r="2">
      <c r="A2" s="1" t="n">
        <v>0</v>
      </c>
      <c r="B2" t="inlineStr">
        <is>
          <t>cliente_id</t>
        </is>
      </c>
      <c r="C2" t="inlineStr">
        <is>
          <t>cliente_id</t>
        </is>
      </c>
      <c r="D2" t="inlineStr">
        <is>
          <t>varianza</t>
        </is>
      </c>
      <c r="E2" t="n">
        <v>35</v>
      </c>
      <c r="F2" t="n">
        <v>1</v>
      </c>
    </row>
    <row r="3">
      <c r="A3" s="1" t="n">
        <v>1</v>
      </c>
      <c r="B3" t="inlineStr">
        <is>
          <t>cliente_id</t>
        </is>
      </c>
      <c r="C3" t="inlineStr">
        <is>
          <t>CAL1</t>
        </is>
      </c>
      <c r="D3" t="inlineStr">
        <is>
          <t>covarianza</t>
        </is>
      </c>
      <c r="E3" t="n">
        <v>-1.631578947368421</v>
      </c>
      <c r="F3" t="n">
        <v>-0.1900731952403394</v>
      </c>
    </row>
    <row r="4">
      <c r="A4" s="1" t="n">
        <v>2</v>
      </c>
      <c r="B4" t="inlineStr">
        <is>
          <t>cliente_id</t>
        </is>
      </c>
      <c r="C4" t="inlineStr">
        <is>
          <t>CAL2</t>
        </is>
      </c>
      <c r="D4" t="inlineStr">
        <is>
          <t>covarianza</t>
        </is>
      </c>
      <c r="E4" t="n">
        <v>-1.631578947368421</v>
      </c>
      <c r="F4" t="n">
        <v>-0.1900731952403394</v>
      </c>
    </row>
    <row r="5">
      <c r="A5" s="1" t="n">
        <v>3</v>
      </c>
      <c r="B5" t="inlineStr">
        <is>
          <t>cliente_id</t>
        </is>
      </c>
      <c r="C5" t="inlineStr">
        <is>
          <t>CAL3</t>
        </is>
      </c>
      <c r="D5" t="inlineStr">
        <is>
          <t>covarianza</t>
        </is>
      </c>
      <c r="E5" t="n">
        <v>-2.368421052631579</v>
      </c>
      <c r="F5" t="n">
        <v>-0.2759127027682349</v>
      </c>
    </row>
    <row r="6">
      <c r="A6" s="1" t="n">
        <v>4</v>
      </c>
      <c r="B6" t="inlineStr">
        <is>
          <t>cliente_id</t>
        </is>
      </c>
      <c r="C6" t="inlineStr">
        <is>
          <t>SAT1</t>
        </is>
      </c>
      <c r="D6" t="inlineStr">
        <is>
          <t>covarianza</t>
        </is>
      </c>
      <c r="E6" t="n">
        <v>-0.5789473684210527</v>
      </c>
      <c r="F6" t="n">
        <v>-0.06744532734334628</v>
      </c>
    </row>
    <row r="7">
      <c r="A7" s="1" t="n">
        <v>5</v>
      </c>
      <c r="B7" t="inlineStr">
        <is>
          <t>cliente_id</t>
        </is>
      </c>
      <c r="C7" t="inlineStr">
        <is>
          <t>SAT2</t>
        </is>
      </c>
      <c r="D7" t="inlineStr">
        <is>
          <t>covarianza</t>
        </is>
      </c>
      <c r="E7" t="n">
        <v>-0.3684210526315789</v>
      </c>
      <c r="F7" t="n">
        <v>-0.04291975376394763</v>
      </c>
    </row>
    <row r="8">
      <c r="A8" s="1" t="n">
        <v>6</v>
      </c>
      <c r="B8" t="inlineStr">
        <is>
          <t>cliente_id</t>
        </is>
      </c>
      <c r="C8" t="inlineStr">
        <is>
          <t>SAT3</t>
        </is>
      </c>
      <c r="D8" t="inlineStr">
        <is>
          <t>covarianza</t>
        </is>
      </c>
      <c r="E8" t="n">
        <v>-2.210526315789473</v>
      </c>
      <c r="F8" t="n">
        <v>-0.2575185225836858</v>
      </c>
    </row>
    <row r="9">
      <c r="A9" s="1" t="n">
        <v>7</v>
      </c>
      <c r="B9" t="inlineStr">
        <is>
          <t>CAL1</t>
        </is>
      </c>
      <c r="C9" t="inlineStr">
        <is>
          <t>CAL1</t>
        </is>
      </c>
      <c r="D9" t="inlineStr">
        <is>
          <t>varianza</t>
        </is>
      </c>
      <c r="E9" t="n">
        <v>2.105263157894737</v>
      </c>
      <c r="F9" t="n">
        <v>1</v>
      </c>
    </row>
    <row r="10">
      <c r="A10" s="1" t="n">
        <v>8</v>
      </c>
      <c r="B10" t="inlineStr">
        <is>
          <t>CAL1</t>
        </is>
      </c>
      <c r="C10" t="inlineStr">
        <is>
          <t>CAL2</t>
        </is>
      </c>
      <c r="D10" t="inlineStr">
        <is>
          <t>covarianza</t>
        </is>
      </c>
      <c r="E10" t="n">
        <v>1.105263157894737</v>
      </c>
      <c r="F10" t="n">
        <v>0.525</v>
      </c>
    </row>
    <row r="11">
      <c r="A11" s="1" t="n">
        <v>9</v>
      </c>
      <c r="B11" t="inlineStr">
        <is>
          <t>CAL1</t>
        </is>
      </c>
      <c r="C11" t="inlineStr">
        <is>
          <t>CAL3</t>
        </is>
      </c>
      <c r="D11" t="inlineStr">
        <is>
          <t>covarianza</t>
        </is>
      </c>
      <c r="E11" t="n">
        <v>1.157894736842105</v>
      </c>
      <c r="F11" t="n">
        <v>0.55</v>
      </c>
    </row>
    <row r="12">
      <c r="A12" s="1" t="n">
        <v>10</v>
      </c>
      <c r="B12" t="inlineStr">
        <is>
          <t>CAL1</t>
        </is>
      </c>
      <c r="C12" t="inlineStr">
        <is>
          <t>SAT1</t>
        </is>
      </c>
      <c r="D12" t="inlineStr">
        <is>
          <t>covarianza</t>
        </is>
      </c>
      <c r="E12" t="n">
        <v>1.736842105263158</v>
      </c>
      <c r="F12" t="n">
        <v>0.825</v>
      </c>
    </row>
    <row r="13">
      <c r="A13" s="1" t="n">
        <v>11</v>
      </c>
      <c r="B13" t="inlineStr">
        <is>
          <t>CAL1</t>
        </is>
      </c>
      <c r="C13" t="inlineStr">
        <is>
          <t>SAT2</t>
        </is>
      </c>
      <c r="D13" t="inlineStr">
        <is>
          <t>covarianza</t>
        </is>
      </c>
      <c r="E13" t="n">
        <v>1.105263157894737</v>
      </c>
      <c r="F13" t="n">
        <v>0.5249999999999999</v>
      </c>
    </row>
    <row r="14">
      <c r="A14" s="1" t="n">
        <v>12</v>
      </c>
      <c r="B14" t="inlineStr">
        <is>
          <t>CAL1</t>
        </is>
      </c>
      <c r="C14" t="inlineStr">
        <is>
          <t>SAT3</t>
        </is>
      </c>
      <c r="D14" t="inlineStr">
        <is>
          <t>covarianza</t>
        </is>
      </c>
      <c r="E14" t="n">
        <v>0.7894736842105263</v>
      </c>
      <c r="F14" t="n">
        <v>0.375</v>
      </c>
    </row>
    <row r="15">
      <c r="A15" s="1" t="n">
        <v>13</v>
      </c>
      <c r="B15" t="inlineStr">
        <is>
          <t>CAL2</t>
        </is>
      </c>
      <c r="C15" t="inlineStr">
        <is>
          <t>CAL2</t>
        </is>
      </c>
      <c r="D15" t="inlineStr">
        <is>
          <t>varianza</t>
        </is>
      </c>
      <c r="E15" t="n">
        <v>2.105263157894737</v>
      </c>
      <c r="F15" t="n">
        <v>1</v>
      </c>
    </row>
    <row r="16">
      <c r="A16" s="1" t="n">
        <v>14</v>
      </c>
      <c r="B16" t="inlineStr">
        <is>
          <t>CAL2</t>
        </is>
      </c>
      <c r="C16" t="inlineStr">
        <is>
          <t>CAL3</t>
        </is>
      </c>
      <c r="D16" t="inlineStr">
        <is>
          <t>covarianza</t>
        </is>
      </c>
      <c r="E16" t="n">
        <v>1.263157894736842</v>
      </c>
      <c r="F16" t="n">
        <v>0.6000000000000001</v>
      </c>
    </row>
    <row r="17">
      <c r="A17" s="1" t="n">
        <v>15</v>
      </c>
      <c r="B17" t="inlineStr">
        <is>
          <t>CAL2</t>
        </is>
      </c>
      <c r="C17" t="inlineStr">
        <is>
          <t>SAT1</t>
        </is>
      </c>
      <c r="D17" t="inlineStr">
        <is>
          <t>covarianza</t>
        </is>
      </c>
      <c r="E17" t="n">
        <v>0.7894736842105263</v>
      </c>
      <c r="F17" t="n">
        <v>0.3750000000000001</v>
      </c>
    </row>
    <row r="18">
      <c r="A18" s="1" t="n">
        <v>16</v>
      </c>
      <c r="B18" t="inlineStr">
        <is>
          <t>CAL2</t>
        </is>
      </c>
      <c r="C18" t="inlineStr">
        <is>
          <t>SAT2</t>
        </is>
      </c>
      <c r="D18" t="inlineStr">
        <is>
          <t>covarianza</t>
        </is>
      </c>
      <c r="E18" t="n">
        <v>0.8947368421052631</v>
      </c>
      <c r="F18" t="n">
        <v>0.425</v>
      </c>
    </row>
    <row r="19">
      <c r="A19" s="1" t="n">
        <v>17</v>
      </c>
      <c r="B19" t="inlineStr">
        <is>
          <t>CAL2</t>
        </is>
      </c>
      <c r="C19" t="inlineStr">
        <is>
          <t>SAT3</t>
        </is>
      </c>
      <c r="D19" t="inlineStr">
        <is>
          <t>covarianza</t>
        </is>
      </c>
      <c r="E19" t="n">
        <v>1.263157894736842</v>
      </c>
      <c r="F19" t="n">
        <v>0.6</v>
      </c>
    </row>
    <row r="20">
      <c r="A20" s="1" t="n">
        <v>18</v>
      </c>
      <c r="B20" t="inlineStr">
        <is>
          <t>CAL3</t>
        </is>
      </c>
      <c r="C20" t="inlineStr">
        <is>
          <t>CAL3</t>
        </is>
      </c>
      <c r="D20" t="inlineStr">
        <is>
          <t>varianza</t>
        </is>
      </c>
      <c r="E20" t="n">
        <v>2.105263157894737</v>
      </c>
      <c r="F20" t="n">
        <v>1</v>
      </c>
    </row>
    <row r="21">
      <c r="A21" s="1" t="n">
        <v>19</v>
      </c>
      <c r="B21" t="inlineStr">
        <is>
          <t>CAL3</t>
        </is>
      </c>
      <c r="C21" t="inlineStr">
        <is>
          <t>SAT1</t>
        </is>
      </c>
      <c r="D21" t="inlineStr">
        <is>
          <t>covarianza</t>
        </is>
      </c>
      <c r="E21" t="n">
        <v>1.052631578947368</v>
      </c>
      <c r="F21" t="n">
        <v>0.5000000000000001</v>
      </c>
    </row>
    <row r="22">
      <c r="A22" s="1" t="n">
        <v>20</v>
      </c>
      <c r="B22" t="inlineStr">
        <is>
          <t>CAL3</t>
        </is>
      </c>
      <c r="C22" t="inlineStr">
        <is>
          <t>SAT2</t>
        </is>
      </c>
      <c r="D22" t="inlineStr">
        <is>
          <t>covarianza</t>
        </is>
      </c>
      <c r="E22" t="n">
        <v>0.5789473684210527</v>
      </c>
      <c r="F22" t="n">
        <v>0.275</v>
      </c>
    </row>
    <row r="23">
      <c r="A23" s="1" t="n">
        <v>21</v>
      </c>
      <c r="B23" t="inlineStr">
        <is>
          <t>CAL3</t>
        </is>
      </c>
      <c r="C23" t="inlineStr">
        <is>
          <t>SAT3</t>
        </is>
      </c>
      <c r="D23" t="inlineStr">
        <is>
          <t>covarianza</t>
        </is>
      </c>
      <c r="E23" t="n">
        <v>1</v>
      </c>
      <c r="F23" t="n">
        <v>0.4750000000000001</v>
      </c>
    </row>
    <row r="24">
      <c r="A24" s="1" t="n">
        <v>22</v>
      </c>
      <c r="B24" t="inlineStr">
        <is>
          <t>SAT1</t>
        </is>
      </c>
      <c r="C24" t="inlineStr">
        <is>
          <t>SAT1</t>
        </is>
      </c>
      <c r="D24" t="inlineStr">
        <is>
          <t>varianza</t>
        </is>
      </c>
      <c r="E24" t="n">
        <v>2.105263157894737</v>
      </c>
      <c r="F24" t="n">
        <v>1</v>
      </c>
    </row>
    <row r="25">
      <c r="A25" s="1" t="n">
        <v>23</v>
      </c>
      <c r="B25" t="inlineStr">
        <is>
          <t>SAT1</t>
        </is>
      </c>
      <c r="C25" t="inlineStr">
        <is>
          <t>SAT2</t>
        </is>
      </c>
      <c r="D25" t="inlineStr">
        <is>
          <t>covarianza</t>
        </is>
      </c>
      <c r="E25" t="n">
        <v>1.263157894736842</v>
      </c>
      <c r="F25" t="n">
        <v>0.6</v>
      </c>
    </row>
    <row r="26">
      <c r="A26" s="1" t="n">
        <v>24</v>
      </c>
      <c r="B26" t="inlineStr">
        <is>
          <t>SAT1</t>
        </is>
      </c>
      <c r="C26" t="inlineStr">
        <is>
          <t>SAT3</t>
        </is>
      </c>
      <c r="D26" t="inlineStr">
        <is>
          <t>covarianza</t>
        </is>
      </c>
      <c r="E26" t="n">
        <v>0.4736842105263158</v>
      </c>
      <c r="F26" t="n">
        <v>0.225</v>
      </c>
    </row>
    <row r="27">
      <c r="A27" s="1" t="n">
        <v>25</v>
      </c>
      <c r="B27" t="inlineStr">
        <is>
          <t>SAT2</t>
        </is>
      </c>
      <c r="C27" t="inlineStr">
        <is>
          <t>SAT2</t>
        </is>
      </c>
      <c r="D27" t="inlineStr">
        <is>
          <t>varianza</t>
        </is>
      </c>
      <c r="E27" t="n">
        <v>2.105263157894737</v>
      </c>
      <c r="F27" t="n">
        <v>1</v>
      </c>
    </row>
    <row r="28">
      <c r="A28" s="1" t="n">
        <v>26</v>
      </c>
      <c r="B28" t="inlineStr">
        <is>
          <t>SAT2</t>
        </is>
      </c>
      <c r="C28" t="inlineStr">
        <is>
          <t>SAT3</t>
        </is>
      </c>
      <c r="D28" t="inlineStr">
        <is>
          <t>covarianza</t>
        </is>
      </c>
      <c r="E28" t="n">
        <v>0.5263157894736842</v>
      </c>
      <c r="F28" t="n">
        <v>0.25</v>
      </c>
    </row>
    <row r="29">
      <c r="A29" s="1" t="n">
        <v>27</v>
      </c>
      <c r="B29" t="inlineStr">
        <is>
          <t>SAT3</t>
        </is>
      </c>
      <c r="C29" t="inlineStr">
        <is>
          <t>SAT3</t>
        </is>
      </c>
      <c r="D29" t="inlineStr">
        <is>
          <t>varianza</t>
        </is>
      </c>
      <c r="E29" t="n">
        <v>2.105263157894737</v>
      </c>
      <c r="F29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cliente_id</t>
        </is>
      </c>
      <c r="C1" s="1" t="inlineStr">
        <is>
          <t>CAL1</t>
        </is>
      </c>
      <c r="D1" s="1" t="inlineStr">
        <is>
          <t>CAL2</t>
        </is>
      </c>
      <c r="E1" s="1" t="inlineStr">
        <is>
          <t>CAL3</t>
        </is>
      </c>
      <c r="F1" s="1" t="inlineStr">
        <is>
          <t>SAT1</t>
        </is>
      </c>
      <c r="G1" s="1" t="inlineStr">
        <is>
          <t>SAT2</t>
        </is>
      </c>
      <c r="H1" s="1" t="inlineStr">
        <is>
          <t>SAT3</t>
        </is>
      </c>
    </row>
    <row r="2">
      <c r="A2" s="1" t="inlineStr">
        <is>
          <t>cliente_id</t>
        </is>
      </c>
      <c r="B2" t="n">
        <v>1</v>
      </c>
      <c r="C2" t="n">
        <v>-0.1900731952403394</v>
      </c>
      <c r="D2" t="n">
        <v>-0.1900731952403394</v>
      </c>
      <c r="E2" t="n">
        <v>-0.2759127027682349</v>
      </c>
      <c r="F2" t="n">
        <v>-0.06744532734334628</v>
      </c>
      <c r="G2" t="n">
        <v>-0.04291975376394763</v>
      </c>
      <c r="H2" t="n">
        <v>-0.2575185225836858</v>
      </c>
    </row>
    <row r="3">
      <c r="A3" s="1" t="inlineStr">
        <is>
          <t>CAL1</t>
        </is>
      </c>
      <c r="B3" t="n">
        <v>-0.1900731952403394</v>
      </c>
      <c r="C3" t="n">
        <v>1</v>
      </c>
      <c r="D3" t="n">
        <v>0.525</v>
      </c>
      <c r="E3" t="n">
        <v>0.55</v>
      </c>
      <c r="F3" t="n">
        <v>0.825</v>
      </c>
      <c r="G3" t="n">
        <v>0.5249999999999999</v>
      </c>
      <c r="H3" t="n">
        <v>0.375</v>
      </c>
    </row>
    <row r="4">
      <c r="A4" s="1" t="inlineStr">
        <is>
          <t>CAL2</t>
        </is>
      </c>
      <c r="B4" t="n">
        <v>-0.1900731952403394</v>
      </c>
      <c r="C4" t="n">
        <v>0.525</v>
      </c>
      <c r="D4" t="n">
        <v>1</v>
      </c>
      <c r="E4" t="n">
        <v>0.6000000000000001</v>
      </c>
      <c r="F4" t="n">
        <v>0.3750000000000001</v>
      </c>
      <c r="G4" t="n">
        <v>0.425</v>
      </c>
      <c r="H4" t="n">
        <v>0.6</v>
      </c>
    </row>
    <row r="5">
      <c r="A5" s="1" t="inlineStr">
        <is>
          <t>CAL3</t>
        </is>
      </c>
      <c r="B5" t="n">
        <v>-0.2759127027682349</v>
      </c>
      <c r="C5" t="n">
        <v>0.55</v>
      </c>
      <c r="D5" t="n">
        <v>0.6000000000000001</v>
      </c>
      <c r="E5" t="n">
        <v>1</v>
      </c>
      <c r="F5" t="n">
        <v>0.5000000000000001</v>
      </c>
      <c r="G5" t="n">
        <v>0.275</v>
      </c>
      <c r="H5" t="n">
        <v>0.4750000000000001</v>
      </c>
    </row>
    <row r="6">
      <c r="A6" s="1" t="inlineStr">
        <is>
          <t>SAT1</t>
        </is>
      </c>
      <c r="B6" t="n">
        <v>-0.06744532734334628</v>
      </c>
      <c r="C6" t="n">
        <v>0.825</v>
      </c>
      <c r="D6" t="n">
        <v>0.3750000000000001</v>
      </c>
      <c r="E6" t="n">
        <v>0.5000000000000001</v>
      </c>
      <c r="F6" t="n">
        <v>1</v>
      </c>
      <c r="G6" t="n">
        <v>0.6</v>
      </c>
      <c r="H6" t="n">
        <v>0.225</v>
      </c>
    </row>
    <row r="7">
      <c r="A7" s="1" t="inlineStr">
        <is>
          <t>SAT2</t>
        </is>
      </c>
      <c r="B7" t="n">
        <v>-0.04291975376394763</v>
      </c>
      <c r="C7" t="n">
        <v>0.5249999999999999</v>
      </c>
      <c r="D7" t="n">
        <v>0.425</v>
      </c>
      <c r="E7" t="n">
        <v>0.275</v>
      </c>
      <c r="F7" t="n">
        <v>0.6</v>
      </c>
      <c r="G7" t="n">
        <v>1</v>
      </c>
      <c r="H7" t="n">
        <v>0.25</v>
      </c>
    </row>
    <row r="8">
      <c r="A8" s="1" t="inlineStr">
        <is>
          <t>SAT3</t>
        </is>
      </c>
      <c r="B8" t="n">
        <v>-0.2575185225836858</v>
      </c>
      <c r="C8" t="n">
        <v>0.375</v>
      </c>
      <c r="D8" t="n">
        <v>0.6</v>
      </c>
      <c r="E8" t="n">
        <v>0.4750000000000001</v>
      </c>
      <c r="F8" t="n">
        <v>0.225</v>
      </c>
      <c r="G8" t="n">
        <v>0.25</v>
      </c>
      <c r="H8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media</t>
        </is>
      </c>
    </row>
    <row r="2">
      <c r="A2" s="1" t="inlineStr">
        <is>
          <t>cliente_id</t>
        </is>
      </c>
      <c r="B2" t="n">
        <v>10.5</v>
      </c>
    </row>
    <row r="3">
      <c r="A3" s="1" t="inlineStr">
        <is>
          <t>CAL1</t>
        </is>
      </c>
      <c r="B3" t="n">
        <v>3</v>
      </c>
    </row>
    <row r="4">
      <c r="A4" s="1" t="inlineStr">
        <is>
          <t>CAL2</t>
        </is>
      </c>
      <c r="B4" t="n">
        <v>3</v>
      </c>
    </row>
    <row r="5">
      <c r="A5" s="1" t="inlineStr">
        <is>
          <t>CAL3</t>
        </is>
      </c>
      <c r="B5" t="n">
        <v>3</v>
      </c>
    </row>
    <row r="6">
      <c r="A6" s="1" t="inlineStr">
        <is>
          <t>SAT1</t>
        </is>
      </c>
      <c r="B6" t="n">
        <v>3</v>
      </c>
    </row>
    <row r="7">
      <c r="A7" s="1" t="inlineStr">
        <is>
          <t>SAT2</t>
        </is>
      </c>
      <c r="B7" t="n">
        <v>3</v>
      </c>
    </row>
    <row r="8">
      <c r="A8" s="1" t="inlineStr">
        <is>
          <t>SAT3</t>
        </is>
      </c>
      <c r="B8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n_casos_listwise</t>
        </is>
      </c>
      <c r="B2" t="n">
        <v>20</v>
      </c>
    </row>
    <row r="3">
      <c r="A3" t="inlineStr">
        <is>
          <t>n_variables</t>
        </is>
      </c>
      <c r="B3" t="n">
        <v>7</v>
      </c>
    </row>
    <row r="4">
      <c r="A4" t="inlineStr">
        <is>
          <t>observaciones_minimas_por_variable</t>
        </is>
      </c>
      <c r="B4" t="n">
        <v>15</v>
      </c>
    </row>
    <row r="5">
      <c r="A5" t="inlineStr">
        <is>
          <t>uso</t>
        </is>
      </c>
      <c r="B5" t="inlineStr">
        <is>
          <t>Cada variable debe tener ≥15 respuestas; covarianzas con casos completos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</t>
        </is>
      </c>
    </row>
    <row r="2">
      <c r="A2" t="inlineStr">
        <is>
          <t>DoF</t>
        </is>
      </c>
      <c r="B2" t="n">
        <v>8</v>
      </c>
    </row>
    <row r="3">
      <c r="A3" t="inlineStr">
        <is>
          <t>chi2</t>
        </is>
      </c>
      <c r="B3" t="n">
        <v>15.14504955200453</v>
      </c>
    </row>
    <row r="4">
      <c r="A4" t="inlineStr">
        <is>
          <t>chi2 p-value</t>
        </is>
      </c>
      <c r="B4" t="n">
        <v>0.05638567346466705</v>
      </c>
    </row>
    <row r="5">
      <c r="A5" t="inlineStr">
        <is>
          <t>CFI</t>
        </is>
      </c>
      <c r="B5" t="n">
        <v>0.8513096070342587</v>
      </c>
    </row>
    <row r="6">
      <c r="A6" t="inlineStr">
        <is>
          <t>TLI</t>
        </is>
      </c>
      <c r="B6" t="n">
        <v>0.7212055131892352</v>
      </c>
    </row>
    <row r="7">
      <c r="A7" t="inlineStr">
        <is>
          <t>RMSEA</t>
        </is>
      </c>
      <c r="B7" t="n">
        <v>0.2168107583755894</v>
      </c>
    </row>
    <row r="8">
      <c r="A8" t="inlineStr">
        <is>
          <t>GFI</t>
        </is>
      </c>
      <c r="B8" t="n">
        <v>0.759805228453762</v>
      </c>
    </row>
    <row r="9">
      <c r="A9" t="inlineStr">
        <is>
          <t>AGFI</t>
        </is>
      </c>
      <c r="B9" t="n">
        <v>0.5496348033508037</v>
      </c>
    </row>
    <row r="10">
      <c r="A10" t="inlineStr">
        <is>
          <t>NFI</t>
        </is>
      </c>
      <c r="B10" t="n">
        <v>0.7598052284537619</v>
      </c>
    </row>
    <row r="11">
      <c r="A11" t="inlineStr">
        <is>
          <t>RMSR</t>
        </is>
      </c>
      <c r="B11" t="n">
        <v>0.2590192144699402</v>
      </c>
    </row>
    <row r="12">
      <c r="A12" t="inlineStr">
        <is>
          <t>AIC</t>
        </is>
      </c>
      <c r="B12" t="n">
        <v>24.48549504479955</v>
      </c>
    </row>
    <row r="13">
      <c r="A13" t="inlineStr">
        <is>
          <t>BIC</t>
        </is>
      </c>
      <c r="B13" t="n">
        <v>37.43001460100143</v>
      </c>
    </row>
    <row r="14">
      <c r="A14" t="inlineStr">
        <is>
          <t>LogLik</t>
        </is>
      </c>
      <c r="B14" t="n">
        <v>0.7572524776002263</v>
      </c>
    </row>
    <row r="15">
      <c r="A15" t="inlineStr">
        <is>
          <t>p_observadas</t>
        </is>
      </c>
      <c r="B15" t="n">
        <v>6</v>
      </c>
    </row>
    <row r="16">
      <c r="A16" t="inlineStr">
        <is>
          <t>momentos_S</t>
        </is>
      </c>
      <c r="B16" t="n">
        <v>21</v>
      </c>
    </row>
    <row r="17">
      <c r="A17" t="inlineStr">
        <is>
          <t>covarianzas_unicas</t>
        </is>
      </c>
      <c r="B17" t="n">
        <v>15</v>
      </c>
    </row>
    <row r="18">
      <c r="A18" t="inlineStr">
        <is>
          <t>parametros_libres</t>
        </is>
      </c>
      <c r="B18" t="n">
        <v>13</v>
      </c>
    </row>
    <row r="19">
      <c r="A19" t="inlineStr">
        <is>
          <t>DoF_verificacion</t>
        </is>
      </c>
      <c r="B19" t="n">
        <v>8</v>
      </c>
    </row>
    <row r="20">
      <c r="A20" t="inlineStr">
        <is>
          <t>ratio_DoF_momentos</t>
        </is>
      </c>
      <c r="B20" t="n">
        <v>0.3809523809523809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tipo_ajuste</t>
        </is>
      </c>
      <c r="B1" s="1" t="inlineStr">
        <is>
          <t>indice</t>
        </is>
      </c>
      <c r="C1" s="1" t="inlineStr">
        <is>
          <t>valor</t>
        </is>
      </c>
      <c r="D1" s="1" t="inlineStr">
        <is>
          <t>criterio_referencia</t>
        </is>
      </c>
      <c r="E1" s="1" t="inlineStr">
        <is>
          <t>cumple</t>
        </is>
      </c>
      <c r="F1" s="1" t="inlineStr">
        <is>
          <t>destacado_lamina</t>
        </is>
      </c>
    </row>
    <row r="2">
      <c r="A2" t="inlineStr">
        <is>
          <t>Absoluto</t>
        </is>
      </c>
      <c r="B2" t="inlineStr">
        <is>
          <t>χ² p-valor</t>
        </is>
      </c>
      <c r="C2" t="n">
        <v>0.05638567346466705</v>
      </c>
      <c r="D2" t="inlineStr">
        <is>
          <t>p &gt; 0.05</t>
        </is>
      </c>
      <c r="E2" t="inlineStr">
        <is>
          <t>Sí</t>
        </is>
      </c>
      <c r="F2" t="inlineStr">
        <is>
          <t>Sí</t>
        </is>
      </c>
    </row>
    <row r="3">
      <c r="A3" t="inlineStr">
        <is>
          <t>Absoluto</t>
        </is>
      </c>
      <c r="B3" t="inlineStr">
        <is>
          <t>GFI</t>
        </is>
      </c>
      <c r="C3" t="n">
        <v>0.759805228453762</v>
      </c>
      <c r="D3" t="inlineStr">
        <is>
          <t>&gt; 0.90</t>
        </is>
      </c>
      <c r="E3" t="inlineStr">
        <is>
          <t>No</t>
        </is>
      </c>
    </row>
    <row r="4">
      <c r="A4" t="inlineStr">
        <is>
          <t>Absoluto</t>
        </is>
      </c>
      <c r="B4" t="inlineStr">
        <is>
          <t>RMSR</t>
        </is>
      </c>
      <c r="C4" t="n">
        <v>0.2590192144699402</v>
      </c>
      <c r="D4" t="inlineStr">
        <is>
          <t>Bajo (&lt; 0.08 orientativo)</t>
        </is>
      </c>
      <c r="E4" t="inlineStr">
        <is>
          <t>No</t>
        </is>
      </c>
    </row>
    <row r="5">
      <c r="A5" t="inlineStr">
        <is>
          <t>Absoluto</t>
        </is>
      </c>
      <c r="B5" t="inlineStr">
        <is>
          <t>RMSEA</t>
        </is>
      </c>
      <c r="C5" t="n">
        <v>0.2168107583755894</v>
      </c>
      <c r="D5" t="inlineStr">
        <is>
          <t>&lt; 0.08</t>
        </is>
      </c>
      <c r="E5" t="inlineStr">
        <is>
          <t>No</t>
        </is>
      </c>
      <c r="F5" t="inlineStr">
        <is>
          <t>Sí</t>
        </is>
      </c>
    </row>
    <row r="6">
      <c r="A6" t="inlineStr">
        <is>
          <t>Incremental</t>
        </is>
      </c>
      <c r="B6" t="inlineStr">
        <is>
          <t>NFI</t>
        </is>
      </c>
      <c r="C6" t="n">
        <v>0.7598052284537619</v>
      </c>
      <c r="D6" t="inlineStr">
        <is>
          <t>&gt; 0.90</t>
        </is>
      </c>
      <c r="E6" t="inlineStr">
        <is>
          <t>No</t>
        </is>
      </c>
    </row>
    <row r="7">
      <c r="A7" t="inlineStr">
        <is>
          <t>Incremental</t>
        </is>
      </c>
      <c r="B7" t="inlineStr">
        <is>
          <t>NNFI / TLI</t>
        </is>
      </c>
      <c r="C7" t="n">
        <v>0.7212055131892352</v>
      </c>
      <c r="D7" t="inlineStr">
        <is>
          <t>&gt; 0.90</t>
        </is>
      </c>
      <c r="E7" t="inlineStr">
        <is>
          <t>No</t>
        </is>
      </c>
    </row>
    <row r="8">
      <c r="A8" t="inlineStr">
        <is>
          <t>Incremental</t>
        </is>
      </c>
      <c r="B8" t="inlineStr">
        <is>
          <t>AGFI</t>
        </is>
      </c>
      <c r="C8" t="n">
        <v>0.5496348033508037</v>
      </c>
      <c r="D8" t="inlineStr">
        <is>
          <t>&gt; 0.90</t>
        </is>
      </c>
      <c r="E8" t="inlineStr">
        <is>
          <t>No</t>
        </is>
      </c>
    </row>
    <row r="9">
      <c r="A9" t="inlineStr">
        <is>
          <t>Incremental</t>
        </is>
      </c>
      <c r="B9" t="inlineStr">
        <is>
          <t>CFI</t>
        </is>
      </c>
      <c r="C9" t="n">
        <v>0.8513096070342587</v>
      </c>
      <c r="D9" t="inlineStr">
        <is>
          <t>&gt; 0.90 (ideal &gt; 0.95)</t>
        </is>
      </c>
      <c r="E9" t="inlineStr">
        <is>
          <t>No</t>
        </is>
      </c>
      <c r="F9" t="inlineStr">
        <is>
          <t>Sí</t>
        </is>
      </c>
    </row>
    <row r="10">
      <c r="A10" t="inlineStr">
        <is>
          <t>Parsimonioso</t>
        </is>
      </c>
      <c r="B10" t="inlineStr">
        <is>
          <t>χ² / gl</t>
        </is>
      </c>
      <c r="C10" t="n">
        <v>1.893131194000566</v>
      </c>
      <c r="D10" t="inlineStr">
        <is>
          <t>≤ 5</t>
        </is>
      </c>
      <c r="E10" t="inlineStr">
        <is>
          <t>Sí</t>
        </is>
      </c>
      <c r="F10" t="inlineStr">
        <is>
          <t>Sí</t>
        </is>
      </c>
    </row>
    <row r="11">
      <c r="A11" t="inlineStr">
        <is>
          <t>Muestra</t>
        </is>
      </c>
      <c r="B11" t="inlineStr">
        <is>
          <t>N vs 5×parámetros</t>
        </is>
      </c>
      <c r="C11" t="n">
        <v>20</v>
      </c>
      <c r="D11" t="inlineStr">
        <is>
          <t>N ≥ 65 (Hu &amp; Bentler)</t>
        </is>
      </c>
      <c r="E11" t="inlineStr">
        <is>
          <t>No</t>
        </is>
      </c>
    </row>
    <row r="12">
      <c r="A12" t="inlineStr">
        <is>
          <t>Muestra</t>
        </is>
      </c>
      <c r="B12" t="inlineStr">
        <is>
          <t>N vs 10×parámetros</t>
        </is>
      </c>
      <c r="C12" t="n">
        <v>20</v>
      </c>
      <c r="D12" t="inlineStr">
        <is>
          <t>N ≥ 130 (PPT Frederic, ML)</t>
        </is>
      </c>
      <c r="E12" t="inlineStr">
        <is>
          <t>No</t>
        </is>
      </c>
    </row>
    <row r="13">
      <c r="A13" t="inlineStr">
        <is>
          <t>Interpretación</t>
        </is>
      </c>
      <c r="B13" t="inlineStr">
        <is>
          <t>H₀: modelo ajusta (S≈Σ)</t>
        </is>
      </c>
      <c r="C13" t="n">
        <v>0.05638567346466705</v>
      </c>
      <c r="D13" t="inlineStr">
        <is>
          <t>p &gt; 0.05 → no rechazar H₀</t>
        </is>
      </c>
      <c r="E13" t="inlineStr">
        <is>
          <t>Sí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valor</t>
        </is>
      </c>
      <c r="C1" s="1" t="inlineStr">
        <is>
          <t>criterio_moderno</t>
        </is>
      </c>
      <c r="D1" s="1" t="inlineStr">
        <is>
          <t>cumple</t>
        </is>
      </c>
      <c r="E1" s="1" t="inlineStr">
        <is>
          <t>nota</t>
        </is>
      </c>
    </row>
    <row r="2">
      <c r="A2" t="inlineStr">
        <is>
          <t>χ² ML (p)</t>
        </is>
      </c>
      <c r="B2" t="n">
        <v>0.05638567346466705</v>
      </c>
      <c r="C2" t="inlineStr">
        <is>
          <t>p &gt; 0.05</t>
        </is>
      </c>
      <c r="D2" t="inlineStr">
        <is>
          <t>Sí</t>
        </is>
      </c>
      <c r="E2" t="inlineStr">
        <is>
          <t>Sensible a N grande</t>
        </is>
      </c>
    </row>
    <row r="3">
      <c r="A3" t="inlineStr">
        <is>
          <t>CFI</t>
        </is>
      </c>
      <c r="B3" t="n">
        <v>0.8513096070342587</v>
      </c>
      <c r="C3" t="inlineStr">
        <is>
          <t>≥ 0.95</t>
        </is>
      </c>
      <c r="D3" t="inlineStr">
        <is>
          <t>No</t>
        </is>
      </c>
    </row>
    <row r="4">
      <c r="A4" t="inlineStr">
        <is>
          <t>TLI</t>
        </is>
      </c>
      <c r="B4" t="n">
        <v>0.7212055131892352</v>
      </c>
      <c r="C4" t="inlineStr">
        <is>
          <t>≥ 0.95</t>
        </is>
      </c>
      <c r="D4" t="inlineStr">
        <is>
          <t>No</t>
        </is>
      </c>
    </row>
    <row r="5">
      <c r="A5" t="inlineStr">
        <is>
          <t>RMSEA</t>
        </is>
      </c>
      <c r="B5" t="n">
        <v>0.2168107583755894</v>
      </c>
      <c r="C5" t="inlineStr">
        <is>
          <t>≤ 0.06</t>
        </is>
      </c>
      <c r="D5" t="inlineStr">
        <is>
          <t>No</t>
        </is>
      </c>
    </row>
    <row r="6">
      <c r="A6" t="inlineStr">
        <is>
          <t>RMSR</t>
        </is>
      </c>
      <c r="B6" t="n">
        <v>0.2590192144699402</v>
      </c>
      <c r="C6" t="inlineStr">
        <is>
          <t>≤ 0.08</t>
        </is>
      </c>
      <c r="D6" t="inlineStr">
        <is>
          <t>No</t>
        </is>
      </c>
    </row>
    <row r="7">
      <c r="A7" t="inlineStr">
        <is>
          <t>χ² / gl</t>
        </is>
      </c>
      <c r="B7" t="n">
        <v>1.893131194000566</v>
      </c>
      <c r="C7" t="inlineStr">
        <is>
          <t>≤ 3</t>
        </is>
      </c>
      <c r="D7" t="inlineStr">
        <is>
          <t>Sí</t>
        </is>
      </c>
    </row>
    <row r="8">
      <c r="A8" t="inlineStr">
        <is>
          <t>N</t>
        </is>
      </c>
      <c r="B8" t="n">
        <v>20</v>
      </c>
      <c r="C8" t="inlineStr">
        <is>
          <t>≥ 130</t>
        </is>
      </c>
      <c r="D8" t="inlineStr">
        <is>
          <t>No</t>
        </is>
      </c>
      <c r="E8" t="inlineStr">
        <is>
          <t>Regla ML</t>
        </is>
      </c>
    </row>
    <row r="9">
      <c r="A9" t="inlineStr">
        <is>
          <t>N (CB-SEM)</t>
        </is>
      </c>
      <c r="B9" t="n">
        <v>20</v>
      </c>
      <c r="C9" t="inlineStr">
        <is>
          <t>≥ 200 recomendado</t>
        </is>
      </c>
      <c r="D9" t="inlineStr">
        <is>
          <t>No</t>
        </is>
      </c>
      <c r="E9" t="inlineStr">
        <is>
          <t>Muestra grande</t>
        </is>
      </c>
    </row>
    <row r="10">
      <c r="A10" t="inlineStr">
        <is>
          <t>RESUMEN</t>
        </is>
      </c>
      <c r="B10" t="inlineStr">
        <is>
          <t>2/8</t>
        </is>
      </c>
      <c r="C10" t="inlineStr">
        <is>
          <t>Criterios modernos cumplidos</t>
        </is>
      </c>
      <c r="D10" t="inlineStr">
        <is>
          <t>Revisar</t>
        </is>
      </c>
      <c r="E10" t="inlineStr">
        <is>
          <t>Use PLS-SEM (SmartPLS) si N es pequeño o el objetivo es predictivo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SECCIÓN</t>
        </is>
      </c>
      <c r="B2" t="inlineStr">
        <is>
          <t>GOODNESS OF FIT SUMMARY FOR METHOD = ML</t>
        </is>
      </c>
    </row>
    <row r="3">
      <c r="A3" t="inlineStr">
        <is>
          <t>N casos</t>
        </is>
      </c>
      <c r="B3" t="n">
        <v>20</v>
      </c>
    </row>
    <row r="5">
      <c r="A5" t="inlineStr">
        <is>
          <t>CHI-SQUARE</t>
        </is>
      </c>
      <c r="B5" t="n">
        <v>15.14504955200453</v>
      </c>
    </row>
    <row r="6">
      <c r="A6" t="inlineStr">
        <is>
          <t>DEGREES OF FREEDOM</t>
        </is>
      </c>
      <c r="B6" t="n">
        <v>8</v>
      </c>
    </row>
    <row r="7">
      <c r="A7" t="inlineStr">
        <is>
          <t>PROBABILITY VALUE (ML)</t>
        </is>
      </c>
      <c r="B7" t="n">
        <v>0.05638567346466705</v>
      </c>
    </row>
    <row r="9">
      <c r="A9" t="inlineStr">
        <is>
          <t>FIT INDICES</t>
        </is>
      </c>
      <c r="B9" t="inlineStr">
        <is>
          <t>-----------</t>
        </is>
      </c>
    </row>
    <row r="10">
      <c r="A10" t="inlineStr">
        <is>
          <t>NFI</t>
        </is>
      </c>
      <c r="B10" t="n">
        <v>0.7598052284537619</v>
      </c>
    </row>
    <row r="11">
      <c r="A11" t="inlineStr">
        <is>
          <t>NNFI / TLI</t>
        </is>
      </c>
      <c r="B11" t="n">
        <v>0.7212055131892352</v>
      </c>
    </row>
    <row r="12">
      <c r="A12" t="inlineStr">
        <is>
          <t>CFI</t>
        </is>
      </c>
      <c r="B12" t="n">
        <v>0.8513096070342587</v>
      </c>
    </row>
    <row r="13">
      <c r="A13" t="inlineStr">
        <is>
          <t>GFI</t>
        </is>
      </c>
      <c r="B13" t="n">
        <v>0.759805228453762</v>
      </c>
    </row>
    <row r="14">
      <c r="A14" t="inlineStr">
        <is>
          <t>AGFI</t>
        </is>
      </c>
      <c r="B14" t="n">
        <v>0.5496348033508037</v>
      </c>
    </row>
    <row r="15">
      <c r="A15" t="inlineStr">
        <is>
          <t>RMSR</t>
        </is>
      </c>
      <c r="B15" t="n">
        <v>0.2590192144699402</v>
      </c>
    </row>
    <row r="16">
      <c r="A16" t="inlineStr">
        <is>
          <t>RMSEA</t>
        </is>
      </c>
      <c r="B16" t="n">
        <v>0.2168107583755894</v>
      </c>
    </row>
    <row r="17">
      <c r="A17" t="inlineStr">
        <is>
          <t>AIC</t>
        </is>
      </c>
      <c r="B17" t="n">
        <v>24.48549504479955</v>
      </c>
    </row>
    <row r="18">
      <c r="A18" t="inlineStr">
        <is>
          <t>BIC</t>
        </is>
      </c>
      <c r="B18" t="n">
        <v>37.43001460100143</v>
      </c>
    </row>
    <row r="19">
      <c r="A19" t="inlineStr">
        <is>
          <t>CHI-SQUARE / DF</t>
        </is>
      </c>
      <c r="B19" t="n">
        <v>1.893131194000566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lhs</t>
        </is>
      </c>
      <c r="B1" s="1" t="inlineStr">
        <is>
          <t>rhs</t>
        </is>
      </c>
      <c r="C1" s="1" t="inlineStr">
        <is>
          <t>estimate</t>
        </is>
      </c>
      <c r="D1" s="1" t="inlineStr">
        <is>
          <t>std_estimate</t>
        </is>
      </c>
    </row>
    <row r="2">
      <c r="A2" t="inlineStr">
        <is>
          <t>Satisfaccion</t>
        </is>
      </c>
      <c r="B2" t="inlineStr">
        <is>
          <t>Calidad</t>
        </is>
      </c>
      <c r="C2" t="n">
        <v>0.9208861037339868</v>
      </c>
      <c r="D2" t="n">
        <v>4.606761721407058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lhs</t>
        </is>
      </c>
      <c r="B1" s="1" t="inlineStr">
        <is>
          <t>rhs</t>
        </is>
      </c>
      <c r="C1" s="1" t="inlineStr">
        <is>
          <t>estimate</t>
        </is>
      </c>
    </row>
    <row r="2">
      <c r="A2" t="inlineStr">
        <is>
          <t>Satisfaccion</t>
        </is>
      </c>
      <c r="B2" t="inlineStr">
        <is>
          <t>Calidad</t>
        </is>
      </c>
      <c r="C2" t="n">
        <v>0.9208861037339868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factor</t>
        </is>
      </c>
      <c r="C1" s="1" t="inlineStr">
        <is>
          <t>loading</t>
        </is>
      </c>
    </row>
    <row r="2">
      <c r="A2" t="inlineStr">
        <is>
          <t>CAL1</t>
        </is>
      </c>
      <c r="B2" t="inlineStr">
        <is>
          <t>Calidad</t>
        </is>
      </c>
      <c r="C2" t="n">
        <v>1</v>
      </c>
    </row>
    <row r="3">
      <c r="A3" t="inlineStr">
        <is>
          <t>CAL2</t>
        </is>
      </c>
      <c r="B3" t="inlineStr">
        <is>
          <t>Calidad</t>
        </is>
      </c>
      <c r="C3" t="n">
        <v>0.6082638220995854</v>
      </c>
    </row>
    <row r="4">
      <c r="A4" t="inlineStr">
        <is>
          <t>CAL3</t>
        </is>
      </c>
      <c r="B4" t="inlineStr">
        <is>
          <t>Calidad</t>
        </is>
      </c>
      <c r="C4" t="n">
        <v>0.6485256363921466</v>
      </c>
    </row>
    <row r="5">
      <c r="A5" t="inlineStr">
        <is>
          <t>SAT1</t>
        </is>
      </c>
      <c r="B5" t="inlineStr">
        <is>
          <t>Satisfaccion</t>
        </is>
      </c>
      <c r="C5" t="n">
        <v>1</v>
      </c>
    </row>
    <row r="6">
      <c r="A6" t="inlineStr">
        <is>
          <t>SAT2</t>
        </is>
      </c>
      <c r="B6" t="inlineStr">
        <is>
          <t>Satisfaccion</t>
        </is>
      </c>
      <c r="C6" t="n">
        <v>0.6975685158085183</v>
      </c>
    </row>
    <row r="7">
      <c r="A7" t="inlineStr">
        <is>
          <t>SAT3</t>
        </is>
      </c>
      <c r="B7" t="inlineStr">
        <is>
          <t>Satisfaccion</t>
        </is>
      </c>
      <c r="C7" t="n">
        <v>0.4443737520004934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mensaje</t>
        </is>
      </c>
      <c r="C1" s="1" t="inlineStr">
        <is>
          <t>nivel</t>
        </is>
      </c>
    </row>
    <row r="2">
      <c r="A2" t="inlineStr">
        <is>
          <t>muestra</t>
        </is>
      </c>
      <c r="B2" t="inlineStr">
        <is>
          <t>N=20: PLS tolera muestras menores, pero bootstrap es más estable con N&gt;=100.</t>
        </is>
      </c>
      <c r="C2" t="inlineStr"/>
    </row>
    <row r="3">
      <c r="A3" t="inlineStr">
        <is>
          <t>bootstrap</t>
        </is>
      </c>
      <c r="B3" t="inlineStr">
        <is>
          <t>bootstraps=200; SmartPLS suele usar 5000.</t>
        </is>
      </c>
      <c r="C3" t="inlineStr"/>
    </row>
    <row r="4">
      <c r="A4" t="inlineStr">
        <is>
          <t>config</t>
        </is>
      </c>
      <c r="B4" t="inlineStr">
        <is>
          <t>Bootstrap con 200 iteraciones y 2 proceso(s).</t>
        </is>
      </c>
      <c r="C4" t="inlineStr"/>
    </row>
    <row r="5">
      <c r="A5" t="inlineStr">
        <is>
          <t>muestra</t>
        </is>
      </c>
      <c r="B5" t="inlineStr">
        <is>
          <t>n=20: cumple mínimo (15), pero para CB-SEM se recomienda n≥200.</t>
        </is>
      </c>
      <c r="C5" t="inlineStr">
        <is>
          <t>advertencia</t>
        </is>
      </c>
    </row>
    <row r="6">
      <c r="A6" t="inlineStr">
        <is>
          <t>muestra</t>
        </is>
      </c>
      <c r="B6" t="inlineStr">
        <is>
          <t>Variable 'CAL1': n=20. Cerca del mínimo (15); se recomienda ampliar la muestra.</t>
        </is>
      </c>
      <c r="C6" t="inlineStr">
        <is>
          <t>advertencia</t>
        </is>
      </c>
    </row>
    <row r="7">
      <c r="A7" t="inlineStr">
        <is>
          <t>muestra</t>
        </is>
      </c>
      <c r="B7" t="inlineStr">
        <is>
          <t>Variable 'CAL2': n=20. Cerca del mínimo (15); se recomienda ampliar la muestra.</t>
        </is>
      </c>
      <c r="C7" t="inlineStr">
        <is>
          <t>advertencia</t>
        </is>
      </c>
    </row>
    <row r="8">
      <c r="A8" t="inlineStr">
        <is>
          <t>muestra</t>
        </is>
      </c>
      <c r="B8" t="inlineStr">
        <is>
          <t>Variable 'CAL3': n=20. Cerca del mínimo (15); se recomienda ampliar la muestra.</t>
        </is>
      </c>
      <c r="C8" t="inlineStr">
        <is>
          <t>advertencia</t>
        </is>
      </c>
    </row>
    <row r="9">
      <c r="A9" t="inlineStr">
        <is>
          <t>muestra</t>
        </is>
      </c>
      <c r="B9" t="inlineStr">
        <is>
          <t>Variable 'SAT1': n=20. Cerca del mínimo (15); se recomienda ampliar la muestra.</t>
        </is>
      </c>
      <c r="C9" t="inlineStr">
        <is>
          <t>advertencia</t>
        </is>
      </c>
    </row>
    <row r="10">
      <c r="A10" t="inlineStr">
        <is>
          <t>muestra</t>
        </is>
      </c>
      <c r="B10" t="inlineStr">
        <is>
          <t>Variable 'SAT2': n=20. Cerca del mínimo (15); se recomienda ampliar la muestra.</t>
        </is>
      </c>
      <c r="C10" t="inlineStr">
        <is>
          <t>advertencia</t>
        </is>
      </c>
    </row>
    <row r="11">
      <c r="A11" t="inlineStr">
        <is>
          <t>muestra</t>
        </is>
      </c>
      <c r="B11" t="inlineStr">
        <is>
          <t>Variable 'SAT3': n=20. Cerca del mínimo (15); se recomienda ampliar la muestra.</t>
        </is>
      </c>
      <c r="C11" t="inlineStr">
        <is>
          <t>advertencia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CAL1</t>
        </is>
      </c>
      <c r="C1" s="1" t="inlineStr">
        <is>
          <t>CAL2</t>
        </is>
      </c>
      <c r="D1" s="1" t="inlineStr">
        <is>
          <t>CAL3</t>
        </is>
      </c>
      <c r="E1" s="1" t="inlineStr">
        <is>
          <t>SAT1</t>
        </is>
      </c>
      <c r="F1" s="1" t="inlineStr">
        <is>
          <t>SAT2</t>
        </is>
      </c>
      <c r="G1" s="1" t="inlineStr">
        <is>
          <t>SAT3</t>
        </is>
      </c>
    </row>
    <row r="2">
      <c r="A2" s="1" t="inlineStr">
        <is>
          <t>CAL1</t>
        </is>
      </c>
      <c r="B2" t="n">
        <v>2.105263157894737</v>
      </c>
      <c r="C2" t="n">
        <v>1.105263157894737</v>
      </c>
      <c r="D2" t="n">
        <v>1.157894736842105</v>
      </c>
      <c r="E2" t="n">
        <v>1.736842105263158</v>
      </c>
      <c r="F2" t="n">
        <v>1.105263157894737</v>
      </c>
      <c r="G2" t="n">
        <v>0.7894736842105263</v>
      </c>
    </row>
    <row r="3">
      <c r="A3" s="1" t="inlineStr">
        <is>
          <t>CAL2</t>
        </is>
      </c>
      <c r="B3" t="n">
        <v>1.105263157894737</v>
      </c>
      <c r="C3" t="n">
        <v>2.105263157894737</v>
      </c>
      <c r="D3" t="n">
        <v>1.263157894736842</v>
      </c>
      <c r="E3" t="n">
        <v>0.7894736842105263</v>
      </c>
      <c r="F3" t="n">
        <v>0.8947368421052631</v>
      </c>
      <c r="G3" t="n">
        <v>1.263157894736842</v>
      </c>
    </row>
    <row r="4">
      <c r="A4" s="1" t="inlineStr">
        <is>
          <t>CAL3</t>
        </is>
      </c>
      <c r="B4" t="n">
        <v>1.157894736842105</v>
      </c>
      <c r="C4" t="n">
        <v>1.263157894736842</v>
      </c>
      <c r="D4" t="n">
        <v>2.105263157894737</v>
      </c>
      <c r="E4" t="n">
        <v>1.052631578947368</v>
      </c>
      <c r="F4" t="n">
        <v>0.5789473684210527</v>
      </c>
      <c r="G4" t="n">
        <v>1</v>
      </c>
    </row>
    <row r="5">
      <c r="A5" s="1" t="inlineStr">
        <is>
          <t>SAT1</t>
        </is>
      </c>
      <c r="B5" t="n">
        <v>1.736842105263158</v>
      </c>
      <c r="C5" t="n">
        <v>0.7894736842105263</v>
      </c>
      <c r="D5" t="n">
        <v>1.052631578947368</v>
      </c>
      <c r="E5" t="n">
        <v>2.105263157894737</v>
      </c>
      <c r="F5" t="n">
        <v>1.263157894736842</v>
      </c>
      <c r="G5" t="n">
        <v>0.4736842105263158</v>
      </c>
    </row>
    <row r="6">
      <c r="A6" s="1" t="inlineStr">
        <is>
          <t>SAT2</t>
        </is>
      </c>
      <c r="B6" t="n">
        <v>1.105263157894737</v>
      </c>
      <c r="C6" t="n">
        <v>0.8947368421052631</v>
      </c>
      <c r="D6" t="n">
        <v>0.5789473684210527</v>
      </c>
      <c r="E6" t="n">
        <v>1.263157894736842</v>
      </c>
      <c r="F6" t="n">
        <v>2.105263157894737</v>
      </c>
      <c r="G6" t="n">
        <v>0.5263157894736842</v>
      </c>
    </row>
    <row r="7">
      <c r="A7" s="1" t="inlineStr">
        <is>
          <t>SAT3</t>
        </is>
      </c>
      <c r="B7" t="n">
        <v>0.7894736842105263</v>
      </c>
      <c r="C7" t="n">
        <v>1.263157894736842</v>
      </c>
      <c r="D7" t="n">
        <v>1</v>
      </c>
      <c r="E7" t="n">
        <v>0.4736842105263158</v>
      </c>
      <c r="F7" t="n">
        <v>0.5263157894736842</v>
      </c>
      <c r="G7" t="n">
        <v>2.105263157894737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CAL1</t>
        </is>
      </c>
      <c r="C1" s="1" t="inlineStr">
        <is>
          <t>CAL2</t>
        </is>
      </c>
      <c r="D1" s="1" t="inlineStr">
        <is>
          <t>CAL3</t>
        </is>
      </c>
      <c r="E1" s="1" t="inlineStr">
        <is>
          <t>SAT1</t>
        </is>
      </c>
      <c r="F1" s="1" t="inlineStr">
        <is>
          <t>SAT2</t>
        </is>
      </c>
      <c r="G1" s="1" t="inlineStr">
        <is>
          <t>SAT3</t>
        </is>
      </c>
    </row>
    <row r="2">
      <c r="A2" s="1" t="inlineStr">
        <is>
          <t>CAL1</t>
        </is>
      </c>
      <c r="B2" t="n">
        <v>2.105779951764737</v>
      </c>
      <c r="C2" t="n">
        <v>1.125157990527078</v>
      </c>
      <c r="D2" t="n">
        <v>1.199633736771568</v>
      </c>
      <c r="E2" t="n">
        <v>1.703442355662581</v>
      </c>
      <c r="F2" t="n">
        <v>1.188267755804913</v>
      </c>
      <c r="G2" t="n">
        <v>0.7569650709023401</v>
      </c>
    </row>
    <row r="3">
      <c r="A3" s="1" t="inlineStr">
        <is>
          <t>CAL2</t>
        </is>
      </c>
      <c r="B3" t="n">
        <v>1.125157990527078</v>
      </c>
      <c r="C3" t="n">
        <v>2.104827437062468</v>
      </c>
      <c r="D3" t="n">
        <v>0.7296938018482821</v>
      </c>
      <c r="E3" t="n">
        <v>1.036142357981643</v>
      </c>
      <c r="F3" t="n">
        <v>0.7227802868235932</v>
      </c>
      <c r="G3" t="n">
        <v>0.4604344672229411</v>
      </c>
    </row>
    <row r="4">
      <c r="A4" s="1" t="inlineStr">
        <is>
          <t>CAL3</t>
        </is>
      </c>
      <c r="B4" t="n">
        <v>1.199633736771568</v>
      </c>
      <c r="C4" t="n">
        <v>0.7296938018482821</v>
      </c>
      <c r="D4" t="n">
        <v>2.105551369511671</v>
      </c>
      <c r="E4" t="n">
        <v>1.104726037763413</v>
      </c>
      <c r="F4" t="n">
        <v>0.770622102537649</v>
      </c>
      <c r="G4" t="n">
        <v>0.4909112543335665</v>
      </c>
    </row>
    <row r="5">
      <c r="A5" s="1" t="inlineStr">
        <is>
          <t>SAT1</t>
        </is>
      </c>
      <c r="B5" t="n">
        <v>1.703442355662581</v>
      </c>
      <c r="C5" t="n">
        <v>1.036142357981643</v>
      </c>
      <c r="D5" t="n">
        <v>1.104726037763413</v>
      </c>
      <c r="E5" t="n">
        <v>2.105625152167443</v>
      </c>
      <c r="F5" t="n">
        <v>1.145821142542836</v>
      </c>
      <c r="G5" t="n">
        <v>0.7299252026062192</v>
      </c>
    </row>
    <row r="6">
      <c r="A6" s="1" t="inlineStr">
        <is>
          <t>SAT2</t>
        </is>
      </c>
      <c r="B6" t="n">
        <v>1.188267755804913</v>
      </c>
      <c r="C6" t="n">
        <v>0.7227802868235931</v>
      </c>
      <c r="D6" t="n">
        <v>0.7706221025376488</v>
      </c>
      <c r="E6" t="n">
        <v>1.145821142542836</v>
      </c>
      <c r="F6" t="n">
        <v>2.104879757104006</v>
      </c>
      <c r="G6" t="n">
        <v>0.5091728402332523</v>
      </c>
    </row>
    <row r="7">
      <c r="A7" s="1" t="inlineStr">
        <is>
          <t>SAT3</t>
        </is>
      </c>
      <c r="B7" t="n">
        <v>0.7569650709023401</v>
      </c>
      <c r="C7" t="n">
        <v>0.4604344672229411</v>
      </c>
      <c r="D7" t="n">
        <v>0.4909112543335665</v>
      </c>
      <c r="E7" t="n">
        <v>0.7299252026062192</v>
      </c>
      <c r="F7" t="n">
        <v>0.5091728402332523</v>
      </c>
      <c r="G7" t="n">
        <v>2.105688957576866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CAL1</t>
        </is>
      </c>
      <c r="C1" s="1" t="inlineStr">
        <is>
          <t>CAL2</t>
        </is>
      </c>
      <c r="D1" s="1" t="inlineStr">
        <is>
          <t>CAL3</t>
        </is>
      </c>
      <c r="E1" s="1" t="inlineStr">
        <is>
          <t>SAT1</t>
        </is>
      </c>
      <c r="F1" s="1" t="inlineStr">
        <is>
          <t>SAT2</t>
        </is>
      </c>
      <c r="G1" s="1" t="inlineStr">
        <is>
          <t>SAT3</t>
        </is>
      </c>
    </row>
    <row r="2">
      <c r="A2" s="1" t="inlineStr">
        <is>
          <t>CAL1</t>
        </is>
      </c>
      <c r="B2" t="n">
        <v>-0.000516793870000587</v>
      </c>
      <c r="C2" t="n">
        <v>-0.01989483263234137</v>
      </c>
      <c r="D2" t="n">
        <v>-0.04173899992946306</v>
      </c>
      <c r="E2" t="n">
        <v>0.03339974960057668</v>
      </c>
      <c r="F2" t="n">
        <v>-0.08300459791017611</v>
      </c>
      <c r="G2" t="n">
        <v>0.03250861330818622</v>
      </c>
    </row>
    <row r="3">
      <c r="A3" s="1" t="inlineStr">
        <is>
          <t>CAL2</t>
        </is>
      </c>
      <c r="B3" t="n">
        <v>-0.01989483263234137</v>
      </c>
      <c r="C3" t="n">
        <v>0.0004357208322689488</v>
      </c>
      <c r="D3" t="n">
        <v>0.5334640928885599</v>
      </c>
      <c r="E3" t="n">
        <v>-0.2466686737711168</v>
      </c>
      <c r="F3" t="n">
        <v>0.1719565552816699</v>
      </c>
      <c r="G3" t="n">
        <v>0.8027234275139009</v>
      </c>
    </row>
    <row r="4">
      <c r="A4" s="1" t="inlineStr">
        <is>
          <t>CAL3</t>
        </is>
      </c>
      <c r="B4" t="n">
        <v>-0.04173899992946306</v>
      </c>
      <c r="C4" t="n">
        <v>0.5334640928885599</v>
      </c>
      <c r="D4" t="n">
        <v>-0.0002882116169340421</v>
      </c>
      <c r="E4" t="n">
        <v>-0.05209445881604435</v>
      </c>
      <c r="F4" t="n">
        <v>-0.1916747341165963</v>
      </c>
      <c r="G4" t="n">
        <v>0.5090887456664335</v>
      </c>
    </row>
    <row r="5">
      <c r="A5" s="1" t="inlineStr">
        <is>
          <t>SAT1</t>
        </is>
      </c>
      <c r="B5" t="n">
        <v>0.03339974960057668</v>
      </c>
      <c r="C5" t="n">
        <v>-0.2466686737711166</v>
      </c>
      <c r="D5" t="n">
        <v>-0.05209445881604435</v>
      </c>
      <c r="E5" t="n">
        <v>-0.0003619942727066672</v>
      </c>
      <c r="F5" t="n">
        <v>0.1173367521940059</v>
      </c>
      <c r="G5" t="n">
        <v>-0.2562409920799034</v>
      </c>
    </row>
    <row r="6">
      <c r="A6" s="1" t="inlineStr">
        <is>
          <t>SAT2</t>
        </is>
      </c>
      <c r="B6" t="n">
        <v>-0.08300459791017611</v>
      </c>
      <c r="C6" t="n">
        <v>0.17195655528167</v>
      </c>
      <c r="D6" t="n">
        <v>-0.1916747341165962</v>
      </c>
      <c r="E6" t="n">
        <v>0.1173367521940059</v>
      </c>
      <c r="F6" t="n">
        <v>0.0003834007907310699</v>
      </c>
      <c r="G6" t="n">
        <v>0.01714294924043192</v>
      </c>
    </row>
    <row r="7">
      <c r="A7" s="1" t="inlineStr">
        <is>
          <t>SAT3</t>
        </is>
      </c>
      <c r="B7" t="n">
        <v>0.03250861330818622</v>
      </c>
      <c r="C7" t="n">
        <v>0.802723427513901</v>
      </c>
      <c r="D7" t="n">
        <v>0.5090887456664335</v>
      </c>
      <c r="E7" t="n">
        <v>-0.2562409920799034</v>
      </c>
      <c r="F7" t="n">
        <v>0.01714294924043192</v>
      </c>
      <c r="G7" t="n">
        <v>-0.000425799682129302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variable_1</t>
        </is>
      </c>
      <c r="C1" s="1" t="inlineStr">
        <is>
          <t>variable_2</t>
        </is>
      </c>
      <c r="D1" s="1" t="inlineStr">
        <is>
          <t>tipo</t>
        </is>
      </c>
      <c r="E1" s="1" t="inlineStr">
        <is>
          <t>valor</t>
        </is>
      </c>
    </row>
    <row r="2">
      <c r="A2" s="1" t="n">
        <v>0</v>
      </c>
      <c r="B2" t="inlineStr">
        <is>
          <t>CAL1</t>
        </is>
      </c>
      <c r="C2" t="inlineStr">
        <is>
          <t>CAL1</t>
        </is>
      </c>
      <c r="D2" t="inlineStr">
        <is>
          <t>varianza</t>
        </is>
      </c>
      <c r="E2" t="n">
        <v>-0.000516793870000587</v>
      </c>
    </row>
    <row r="3">
      <c r="A3" s="1" t="n">
        <v>1</v>
      </c>
      <c r="B3" t="inlineStr">
        <is>
          <t>CAL1</t>
        </is>
      </c>
      <c r="C3" t="inlineStr">
        <is>
          <t>CAL2</t>
        </is>
      </c>
      <c r="D3" t="inlineStr">
        <is>
          <t>residual</t>
        </is>
      </c>
      <c r="E3" t="n">
        <v>-0.01989483263234137</v>
      </c>
    </row>
    <row r="4">
      <c r="A4" s="1" t="n">
        <v>2</v>
      </c>
      <c r="B4" t="inlineStr">
        <is>
          <t>CAL1</t>
        </is>
      </c>
      <c r="C4" t="inlineStr">
        <is>
          <t>CAL3</t>
        </is>
      </c>
      <c r="D4" t="inlineStr">
        <is>
          <t>residual</t>
        </is>
      </c>
      <c r="E4" t="n">
        <v>-0.04173899992946306</v>
      </c>
    </row>
    <row r="5">
      <c r="A5" s="1" t="n">
        <v>3</v>
      </c>
      <c r="B5" t="inlineStr">
        <is>
          <t>CAL1</t>
        </is>
      </c>
      <c r="C5" t="inlineStr">
        <is>
          <t>SAT1</t>
        </is>
      </c>
      <c r="D5" t="inlineStr">
        <is>
          <t>residual</t>
        </is>
      </c>
      <c r="E5" t="n">
        <v>0.03339974960057668</v>
      </c>
    </row>
    <row r="6">
      <c r="A6" s="1" t="n">
        <v>4</v>
      </c>
      <c r="B6" t="inlineStr">
        <is>
          <t>CAL1</t>
        </is>
      </c>
      <c r="C6" t="inlineStr">
        <is>
          <t>SAT2</t>
        </is>
      </c>
      <c r="D6" t="inlineStr">
        <is>
          <t>residual</t>
        </is>
      </c>
      <c r="E6" t="n">
        <v>-0.08300459791017611</v>
      </c>
    </row>
    <row r="7">
      <c r="A7" s="1" t="n">
        <v>5</v>
      </c>
      <c r="B7" t="inlineStr">
        <is>
          <t>CAL1</t>
        </is>
      </c>
      <c r="C7" t="inlineStr">
        <is>
          <t>SAT3</t>
        </is>
      </c>
      <c r="D7" t="inlineStr">
        <is>
          <t>residual</t>
        </is>
      </c>
      <c r="E7" t="n">
        <v>0.03250861330818622</v>
      </c>
    </row>
    <row r="8">
      <c r="A8" s="1" t="n">
        <v>6</v>
      </c>
      <c r="B8" t="inlineStr">
        <is>
          <t>CAL2</t>
        </is>
      </c>
      <c r="C8" t="inlineStr">
        <is>
          <t>CAL2</t>
        </is>
      </c>
      <c r="D8" t="inlineStr">
        <is>
          <t>varianza</t>
        </is>
      </c>
      <c r="E8" t="n">
        <v>0.0004357208322689488</v>
      </c>
    </row>
    <row r="9">
      <c r="A9" s="1" t="n">
        <v>7</v>
      </c>
      <c r="B9" t="inlineStr">
        <is>
          <t>CAL2</t>
        </is>
      </c>
      <c r="C9" t="inlineStr">
        <is>
          <t>CAL3</t>
        </is>
      </c>
      <c r="D9" t="inlineStr">
        <is>
          <t>residual</t>
        </is>
      </c>
      <c r="E9" t="n">
        <v>0.5334640928885599</v>
      </c>
    </row>
    <row r="10">
      <c r="A10" s="1" t="n">
        <v>8</v>
      </c>
      <c r="B10" t="inlineStr">
        <is>
          <t>CAL2</t>
        </is>
      </c>
      <c r="C10" t="inlineStr">
        <is>
          <t>SAT1</t>
        </is>
      </c>
      <c r="D10" t="inlineStr">
        <is>
          <t>residual</t>
        </is>
      </c>
      <c r="E10" t="n">
        <v>-0.2466686737711168</v>
      </c>
    </row>
    <row r="11">
      <c r="A11" s="1" t="n">
        <v>9</v>
      </c>
      <c r="B11" t="inlineStr">
        <is>
          <t>CAL2</t>
        </is>
      </c>
      <c r="C11" t="inlineStr">
        <is>
          <t>SAT2</t>
        </is>
      </c>
      <c r="D11" t="inlineStr">
        <is>
          <t>residual</t>
        </is>
      </c>
      <c r="E11" t="n">
        <v>0.1719565552816699</v>
      </c>
    </row>
    <row r="12">
      <c r="A12" s="1" t="n">
        <v>10</v>
      </c>
      <c r="B12" t="inlineStr">
        <is>
          <t>CAL2</t>
        </is>
      </c>
      <c r="C12" t="inlineStr">
        <is>
          <t>SAT3</t>
        </is>
      </c>
      <c r="D12" t="inlineStr">
        <is>
          <t>residual</t>
        </is>
      </c>
      <c r="E12" t="n">
        <v>0.8027234275139009</v>
      </c>
    </row>
    <row r="13">
      <c r="A13" s="1" t="n">
        <v>11</v>
      </c>
      <c r="B13" t="inlineStr">
        <is>
          <t>CAL3</t>
        </is>
      </c>
      <c r="C13" t="inlineStr">
        <is>
          <t>CAL3</t>
        </is>
      </c>
      <c r="D13" t="inlineStr">
        <is>
          <t>varianza</t>
        </is>
      </c>
      <c r="E13" t="n">
        <v>-0.0002882116169340421</v>
      </c>
    </row>
    <row r="14">
      <c r="A14" s="1" t="n">
        <v>12</v>
      </c>
      <c r="B14" t="inlineStr">
        <is>
          <t>CAL3</t>
        </is>
      </c>
      <c r="C14" t="inlineStr">
        <is>
          <t>SAT1</t>
        </is>
      </c>
      <c r="D14" t="inlineStr">
        <is>
          <t>residual</t>
        </is>
      </c>
      <c r="E14" t="n">
        <v>-0.05209445881604435</v>
      </c>
    </row>
    <row r="15">
      <c r="A15" s="1" t="n">
        <v>13</v>
      </c>
      <c r="B15" t="inlineStr">
        <is>
          <t>CAL3</t>
        </is>
      </c>
      <c r="C15" t="inlineStr">
        <is>
          <t>SAT2</t>
        </is>
      </c>
      <c r="D15" t="inlineStr">
        <is>
          <t>residual</t>
        </is>
      </c>
      <c r="E15" t="n">
        <v>-0.1916747341165963</v>
      </c>
    </row>
    <row r="16">
      <c r="A16" s="1" t="n">
        <v>14</v>
      </c>
      <c r="B16" t="inlineStr">
        <is>
          <t>CAL3</t>
        </is>
      </c>
      <c r="C16" t="inlineStr">
        <is>
          <t>SAT3</t>
        </is>
      </c>
      <c r="D16" t="inlineStr">
        <is>
          <t>residual</t>
        </is>
      </c>
      <c r="E16" t="n">
        <v>0.5090887456664335</v>
      </c>
    </row>
    <row r="17">
      <c r="A17" s="1" t="n">
        <v>15</v>
      </c>
      <c r="B17" t="inlineStr">
        <is>
          <t>SAT1</t>
        </is>
      </c>
      <c r="C17" t="inlineStr">
        <is>
          <t>SAT1</t>
        </is>
      </c>
      <c r="D17" t="inlineStr">
        <is>
          <t>varianza</t>
        </is>
      </c>
      <c r="E17" t="n">
        <v>-0.0003619942727066672</v>
      </c>
    </row>
    <row r="18">
      <c r="A18" s="1" t="n">
        <v>16</v>
      </c>
      <c r="B18" t="inlineStr">
        <is>
          <t>SAT1</t>
        </is>
      </c>
      <c r="C18" t="inlineStr">
        <is>
          <t>SAT2</t>
        </is>
      </c>
      <c r="D18" t="inlineStr">
        <is>
          <t>residual</t>
        </is>
      </c>
      <c r="E18" t="n">
        <v>0.1173367521940059</v>
      </c>
    </row>
    <row r="19">
      <c r="A19" s="1" t="n">
        <v>17</v>
      </c>
      <c r="B19" t="inlineStr">
        <is>
          <t>SAT1</t>
        </is>
      </c>
      <c r="C19" t="inlineStr">
        <is>
          <t>SAT3</t>
        </is>
      </c>
      <c r="D19" t="inlineStr">
        <is>
          <t>residual</t>
        </is>
      </c>
      <c r="E19" t="n">
        <v>-0.2562409920799034</v>
      </c>
    </row>
    <row r="20">
      <c r="A20" s="1" t="n">
        <v>18</v>
      </c>
      <c r="B20" t="inlineStr">
        <is>
          <t>SAT2</t>
        </is>
      </c>
      <c r="C20" t="inlineStr">
        <is>
          <t>SAT2</t>
        </is>
      </c>
      <c r="D20" t="inlineStr">
        <is>
          <t>varianza</t>
        </is>
      </c>
      <c r="E20" t="n">
        <v>0.0003834007907310699</v>
      </c>
    </row>
    <row r="21">
      <c r="A21" s="1" t="n">
        <v>19</v>
      </c>
      <c r="B21" t="inlineStr">
        <is>
          <t>SAT2</t>
        </is>
      </c>
      <c r="C21" t="inlineStr">
        <is>
          <t>SAT3</t>
        </is>
      </c>
      <c r="D21" t="inlineStr">
        <is>
          <t>residual</t>
        </is>
      </c>
      <c r="E21" t="n">
        <v>0.01714294924043192</v>
      </c>
    </row>
    <row r="22">
      <c r="A22" s="1" t="n">
        <v>20</v>
      </c>
      <c r="B22" t="inlineStr">
        <is>
          <t>SAT3</t>
        </is>
      </c>
      <c r="C22" t="inlineStr">
        <is>
          <t>SAT3</t>
        </is>
      </c>
      <c r="D22" t="inlineStr">
        <is>
          <t>varianza</t>
        </is>
      </c>
      <c r="E22" t="n">
        <v>-0.000425799682129302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descripcion</t>
        </is>
      </c>
    </row>
    <row r="2">
      <c r="A2" t="inlineStr">
        <is>
          <t>Ecuación fundamental</t>
        </is>
      </c>
      <c r="B2" t="inlineStr">
        <is>
          <t>DATA (S) = MODEL (Sigma implícita) + RESIDUAL (S - Sigma)</t>
        </is>
      </c>
    </row>
    <row r="3">
      <c r="A3" t="inlineStr">
        <is>
          <t>DATA</t>
        </is>
      </c>
      <c r="B3" t="inlineStr">
        <is>
          <t>Matriz_Covarianzas: covarianzas observadas entre ítems</t>
        </is>
      </c>
    </row>
    <row r="4">
      <c r="A4" t="inlineStr">
        <is>
          <t>MODEL (Σ estimada)</t>
        </is>
      </c>
      <c r="B4" t="inlineStr">
        <is>
          <t>Matriz_Implicita_MODEL: Σ con parámetros estimados (λ²ψ+θ, λ₁λ₂ψ)</t>
        </is>
      </c>
    </row>
    <row r="5">
      <c r="A5" t="inlineStr">
        <is>
          <t>Σ teórica (dibujo)</t>
        </is>
      </c>
      <c r="B5" t="inlineStr">
        <is>
          <t>Matriz_Sigma_Teoria: λ²+σ y λ₁λ₂ con Var(F)=1 (tu tesis)</t>
        </is>
      </c>
    </row>
    <row r="6">
      <c r="A6" t="inlineStr">
        <is>
          <t>RESIDUAL</t>
        </is>
      </c>
      <c r="B6" t="inlineStr">
        <is>
          <t>Matriz_Residual: diferencia no explicada (idealmente cercana a 0)</t>
        </is>
      </c>
    </row>
    <row r="7">
      <c r="A7" t="inlineStr">
        <is>
          <t>Chi-cuadrado de ajuste</t>
        </is>
      </c>
      <c r="B7" t="inlineStr">
        <is>
          <t>chi2=15.1450, p=0.0564 (contraste S vs Sigma)</t>
        </is>
      </c>
    </row>
    <row r="8">
      <c r="A8" t="inlineStr">
        <is>
          <t>Norma residual (Frobenius)</t>
        </is>
      </c>
      <c r="B8" t="inlineStr">
        <is>
          <t>1.678636 (menor = mejor ajuste de covarianzas)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variable_dependiente</t>
        </is>
      </c>
      <c r="B1" s="1" t="inlineStr">
        <is>
          <t>variable_independiente</t>
        </is>
      </c>
      <c r="C1" s="1" t="inlineStr">
        <is>
          <t>intercepto_a</t>
        </is>
      </c>
      <c r="D1" s="1" t="inlineStr">
        <is>
          <t>pendiente_b</t>
        </is>
      </c>
      <c r="E1" s="1" t="inlineStr">
        <is>
          <t>ecuacion</t>
        </is>
      </c>
      <c r="F1" s="1" t="inlineStr">
        <is>
          <t>forma</t>
        </is>
      </c>
      <c r="G1" s="1" t="inlineStr">
        <is>
          <t>nota</t>
        </is>
      </c>
    </row>
    <row r="2">
      <c r="A2" t="inlineStr">
        <is>
          <t>Satisfaccion</t>
        </is>
      </c>
      <c r="B2" t="inlineStr">
        <is>
          <t>Calidad</t>
        </is>
      </c>
      <c r="C2" t="n">
        <v>0</v>
      </c>
      <c r="D2" t="n">
        <v>0.9208861037339868</v>
      </c>
      <c r="E2" t="inlineStr">
        <is>
          <t>Satisfaccion = 0.0000 + (0.9209)*Calidad</t>
        </is>
      </c>
      <c r="F2" t="inlineStr">
        <is>
          <t>Y = a + b*X</t>
        </is>
      </c>
      <c r="G2" t="inlineStr">
        <is>
          <t>Medias de factores latentes usualmente fijadas en 0 (a=0)</t>
        </is>
      </c>
    </row>
    <row r="3">
      <c r="A3" t="inlineStr">
        <is>
          <t>CAL1</t>
        </is>
      </c>
      <c r="B3" t="inlineStr">
        <is>
          <t>Calidad</t>
        </is>
      </c>
      <c r="C3" t="n">
        <v>0</v>
      </c>
      <c r="D3" t="n">
        <v>1</v>
      </c>
      <c r="E3" t="inlineStr">
        <is>
          <t>CAL1 = 1.0000*Calidad</t>
        </is>
      </c>
      <c r="F3" t="inlineStr">
        <is>
          <t>ítem = lambda*factor</t>
        </is>
      </c>
      <c r="G3" t="inlineStr">
        <is>
          <t>Ecuación de medida (análisis factorial)</t>
        </is>
      </c>
    </row>
    <row r="4">
      <c r="A4" t="inlineStr">
        <is>
          <t>CAL2</t>
        </is>
      </c>
      <c r="B4" t="inlineStr">
        <is>
          <t>Calidad</t>
        </is>
      </c>
      <c r="C4" t="n">
        <v>0</v>
      </c>
      <c r="D4" t="n">
        <v>0.6082638220995854</v>
      </c>
      <c r="E4" t="inlineStr">
        <is>
          <t>CAL2 = 0.6083*Calidad</t>
        </is>
      </c>
      <c r="F4" t="inlineStr">
        <is>
          <t>ítem = lambda*factor</t>
        </is>
      </c>
      <c r="G4" t="inlineStr">
        <is>
          <t>Ecuación de medida (análisis factorial)</t>
        </is>
      </c>
    </row>
    <row r="5">
      <c r="A5" t="inlineStr">
        <is>
          <t>CAL3</t>
        </is>
      </c>
      <c r="B5" t="inlineStr">
        <is>
          <t>Calidad</t>
        </is>
      </c>
      <c r="C5" t="n">
        <v>0</v>
      </c>
      <c r="D5" t="n">
        <v>0.6485256363921466</v>
      </c>
      <c r="E5" t="inlineStr">
        <is>
          <t>CAL3 = 0.6485*Calidad</t>
        </is>
      </c>
      <c r="F5" t="inlineStr">
        <is>
          <t>ítem = lambda*factor</t>
        </is>
      </c>
      <c r="G5" t="inlineStr">
        <is>
          <t>Ecuación de medida (análisis factorial)</t>
        </is>
      </c>
    </row>
    <row r="6">
      <c r="A6" t="inlineStr">
        <is>
          <t>SAT1</t>
        </is>
      </c>
      <c r="B6" t="inlineStr">
        <is>
          <t>Satisfaccion</t>
        </is>
      </c>
      <c r="C6" t="n">
        <v>0</v>
      </c>
      <c r="D6" t="n">
        <v>1</v>
      </c>
      <c r="E6" t="inlineStr">
        <is>
          <t>SAT1 = 1.0000*Satisfaccion</t>
        </is>
      </c>
      <c r="F6" t="inlineStr">
        <is>
          <t>ítem = lambda*factor</t>
        </is>
      </c>
      <c r="G6" t="inlineStr">
        <is>
          <t>Ecuación de medida (análisis factorial)</t>
        </is>
      </c>
    </row>
    <row r="7">
      <c r="A7" t="inlineStr">
        <is>
          <t>SAT2</t>
        </is>
      </c>
      <c r="B7" t="inlineStr">
        <is>
          <t>Satisfaccion</t>
        </is>
      </c>
      <c r="C7" t="n">
        <v>0</v>
      </c>
      <c r="D7" t="n">
        <v>0.6975685158085183</v>
      </c>
      <c r="E7" t="inlineStr">
        <is>
          <t>SAT2 = 0.6976*Satisfaccion</t>
        </is>
      </c>
      <c r="F7" t="inlineStr">
        <is>
          <t>ítem = lambda*factor</t>
        </is>
      </c>
      <c r="G7" t="inlineStr">
        <is>
          <t>Ecuación de medida (análisis factorial)</t>
        </is>
      </c>
    </row>
    <row r="8">
      <c r="A8" t="inlineStr">
        <is>
          <t>SAT3</t>
        </is>
      </c>
      <c r="B8" t="inlineStr">
        <is>
          <t>Satisfaccion</t>
        </is>
      </c>
      <c r="C8" t="n">
        <v>0</v>
      </c>
      <c r="D8" t="n">
        <v>0.4443737520004934</v>
      </c>
      <c r="E8" t="inlineStr">
        <is>
          <t>SAT3 = 0.4444*Satisfaccion</t>
        </is>
      </c>
      <c r="F8" t="inlineStr">
        <is>
          <t>ítem = lambda*factor</t>
        </is>
      </c>
      <c r="G8" t="inlineStr">
        <is>
          <t>Ecuación de medida (análisis factorial)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variable_dependiente_Y</t>
        </is>
      </c>
      <c r="B1" s="1" t="inlineStr">
        <is>
          <t>variable_independiente_X</t>
        </is>
      </c>
      <c r="C1" s="1" t="inlineStr">
        <is>
          <t>pendiente_b</t>
        </is>
      </c>
      <c r="D1" s="1" t="inlineStr">
        <is>
          <t>R2</t>
        </is>
      </c>
      <c r="E1" s="1" t="inlineStr">
        <is>
          <t>R2_pct</t>
        </is>
      </c>
      <c r="F1" s="1" t="inlineStr">
        <is>
          <t>ecuacion</t>
        </is>
      </c>
      <c r="G1" s="1" t="inlineStr">
        <is>
          <t>coeficiente_interes</t>
        </is>
      </c>
      <c r="H1" s="1" t="inlineStr">
        <is>
          <t>interpretacion_pendiente</t>
        </is>
      </c>
      <c r="I1" s="1" t="inlineStr">
        <is>
          <t>nota</t>
        </is>
      </c>
    </row>
    <row r="2">
      <c r="A2" t="inlineStr">
        <is>
          <t>Satisfaccion</t>
        </is>
      </c>
      <c r="B2" t="inlineStr">
        <is>
          <t>Calidad</t>
        </is>
      </c>
      <c r="C2" t="n">
        <v>0.7921725591063287</v>
      </c>
      <c r="D2" t="n">
        <v>0.62753736340107</v>
      </c>
      <c r="E2" t="n">
        <v>62.75</v>
      </c>
      <c r="F2" t="inlineStr">
        <is>
          <t>Satisfaccion = (0.7922)*Calidad</t>
        </is>
      </c>
      <c r="G2" t="inlineStr">
        <is>
          <t>pendiente_b</t>
        </is>
      </c>
      <c r="H2" t="inlineStr">
        <is>
          <t>Al aumentar Calidad, aumenta Satisfaccion.</t>
        </is>
      </c>
      <c r="I2" t="inlineStr">
        <is>
          <t>R² del constructo endógeno; significancia en hoja Bootstraps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tipo</t>
        </is>
      </c>
      <c r="D1" s="1" t="inlineStr">
        <is>
          <t>celda_Sigma</t>
        </is>
      </c>
      <c r="E1" s="1" t="inlineStr">
        <is>
          <t>formula_tesis</t>
        </is>
      </c>
      <c r="F1" s="1" t="inlineStr">
        <is>
          <t>formula_estimacion</t>
        </is>
      </c>
      <c r="G1" s="1" t="inlineStr">
        <is>
          <t>factor</t>
        </is>
      </c>
      <c r="H1" s="1" t="inlineStr">
        <is>
          <t>lambda_1</t>
        </is>
      </c>
      <c r="I1" s="1" t="inlineStr">
        <is>
          <t>sigma_error</t>
        </is>
      </c>
      <c r="J1" s="1" t="inlineStr">
        <is>
          <t>psi_factor</t>
        </is>
      </c>
      <c r="K1" s="1" t="inlineStr">
        <is>
          <t>valor_Sigma_tesis</t>
        </is>
      </c>
      <c r="L1" s="1" t="inlineStr">
        <is>
          <t>valor_Sigma_modelo</t>
        </is>
      </c>
      <c r="M1" s="1" t="inlineStr">
        <is>
          <t>producto_tesis</t>
        </is>
      </c>
      <c r="N1" s="1" t="inlineStr">
        <is>
          <t>producto_estimacion</t>
        </is>
      </c>
      <c r="O1" s="1" t="inlineStr">
        <is>
          <t>valor_DATA</t>
        </is>
      </c>
      <c r="P1" s="1" t="inlineStr">
        <is>
          <t>residual_DATA_menos_modelo</t>
        </is>
      </c>
      <c r="Q1" s="1" t="inlineStr">
        <is>
          <t>hipotesis</t>
        </is>
      </c>
      <c r="R1" s="1" t="inlineStr">
        <is>
          <t>lambda_2</t>
        </is>
      </c>
      <c r="S1" s="1" t="inlineStr">
        <is>
          <t>coincide_tesis_con_modelo</t>
        </is>
      </c>
      <c r="T1" s="1" t="inlineStr">
        <is>
          <t>coincide_estimacion_con_modelo</t>
        </is>
      </c>
    </row>
    <row r="2">
      <c r="A2" t="inlineStr">
        <is>
          <t>CAL1</t>
        </is>
      </c>
      <c r="B2" t="inlineStr">
        <is>
          <t>CAL1</t>
        </is>
      </c>
      <c r="C2" t="inlineStr">
        <is>
          <t>varianza</t>
        </is>
      </c>
      <c r="D2" t="inlineStr">
        <is>
          <t>Σ(CAL1,CAL1)</t>
        </is>
      </c>
      <c r="E2" t="inlineStr">
        <is>
          <t>λ² + σ  (varianza del ítem; línea central del dibujo)</t>
        </is>
      </c>
      <c r="F2" t="inlineStr">
        <is>
          <t>λ² × ψ + θ</t>
        </is>
      </c>
      <c r="G2" t="inlineStr">
        <is>
          <t>Calidad</t>
        </is>
      </c>
      <c r="H2" t="n">
        <v>1</v>
      </c>
      <c r="I2" t="n">
        <v>0.2559938069249965</v>
      </c>
      <c r="J2" t="n">
        <v>1.849786144839741</v>
      </c>
      <c r="K2" t="n">
        <v>1.255993806924997</v>
      </c>
      <c r="L2" t="n">
        <v>2.105779951764737</v>
      </c>
      <c r="M2" t="n">
        <v>1.255993806924997</v>
      </c>
      <c r="N2" t="n">
        <v>2.105779951764737</v>
      </c>
      <c r="O2" t="n">
        <v>2.105263157894737</v>
      </c>
      <c r="P2" t="n">
        <v>-0.000516793870000587</v>
      </c>
      <c r="S2" t="inlineStr">
        <is>
          <t>No</t>
        </is>
      </c>
      <c r="T2" t="inlineStr">
        <is>
          <t>Sí</t>
        </is>
      </c>
    </row>
    <row r="3">
      <c r="A3" t="inlineStr">
        <is>
          <t>CAL1</t>
        </is>
      </c>
      <c r="B3" t="inlineStr">
        <is>
          <t>CAL2</t>
        </is>
      </c>
      <c r="C3" t="inlineStr">
        <is>
          <t>covarianza</t>
        </is>
      </c>
      <c r="D3" t="inlineStr">
        <is>
          <t>Σ(CAL1,CAL2)</t>
        </is>
      </c>
      <c r="E3" t="inlineStr">
        <is>
          <t>λ₁ × λ₂</t>
        </is>
      </c>
      <c r="F3" t="inlineStr">
        <is>
          <t>λ₁ × λ₂ × ψ</t>
        </is>
      </c>
      <c r="G3" t="inlineStr">
        <is>
          <t>Calidad=Calidad</t>
        </is>
      </c>
      <c r="H3" t="n">
        <v>1</v>
      </c>
      <c r="J3" t="n">
        <v>1.849786144839741</v>
      </c>
      <c r="K3" t="n">
        <v>0.6082638220995854</v>
      </c>
      <c r="L3" t="n">
        <v>1.125157990527078</v>
      </c>
      <c r="M3" t="n">
        <v>0.6082638220995854</v>
      </c>
      <c r="N3" t="n">
        <v>1.125157990527078</v>
      </c>
      <c r="O3" t="n">
        <v>1.105263157894737</v>
      </c>
      <c r="P3" t="n">
        <v>-0.01989483263234137</v>
      </c>
      <c r="Q3" t="inlineStr">
        <is>
          <t>Covarianza entre ítems del mismo factor (tu hipótesis en Σ)</t>
        </is>
      </c>
      <c r="R3" t="n">
        <v>0.6082638220995854</v>
      </c>
      <c r="S3" t="inlineStr">
        <is>
          <t>No</t>
        </is>
      </c>
      <c r="T3" t="inlineStr">
        <is>
          <t>Sí</t>
        </is>
      </c>
    </row>
    <row r="4">
      <c r="A4" t="inlineStr">
        <is>
          <t>CAL1</t>
        </is>
      </c>
      <c r="B4" t="inlineStr">
        <is>
          <t>CAL3</t>
        </is>
      </c>
      <c r="C4" t="inlineStr">
        <is>
          <t>covarianza</t>
        </is>
      </c>
      <c r="D4" t="inlineStr">
        <is>
          <t>Σ(CAL1,CAL3)</t>
        </is>
      </c>
      <c r="E4" t="inlineStr">
        <is>
          <t>λ₁ × λ₂</t>
        </is>
      </c>
      <c r="F4" t="inlineStr">
        <is>
          <t>λ₁ × λ₂ × ψ</t>
        </is>
      </c>
      <c r="G4" t="inlineStr">
        <is>
          <t>Calidad=Calidad</t>
        </is>
      </c>
      <c r="H4" t="n">
        <v>1</v>
      </c>
      <c r="J4" t="n">
        <v>1.849786144839741</v>
      </c>
      <c r="K4" t="n">
        <v>0.6485256363921466</v>
      </c>
      <c r="L4" t="n">
        <v>1.199633736771568</v>
      </c>
      <c r="M4" t="n">
        <v>0.6485256363921466</v>
      </c>
      <c r="N4" t="n">
        <v>1.199633736771568</v>
      </c>
      <c r="O4" t="n">
        <v>1.157894736842105</v>
      </c>
      <c r="P4" t="n">
        <v>-0.04173899992946306</v>
      </c>
      <c r="Q4" t="inlineStr">
        <is>
          <t>Covarianza entre ítems del mismo factor (tu hipótesis en Σ)</t>
        </is>
      </c>
      <c r="R4" t="n">
        <v>0.6485256363921466</v>
      </c>
      <c r="S4" t="inlineStr">
        <is>
          <t>No</t>
        </is>
      </c>
      <c r="T4" t="inlineStr">
        <is>
          <t>Sí</t>
        </is>
      </c>
    </row>
    <row r="5">
      <c r="A5" t="inlineStr">
        <is>
          <t>CAL1</t>
        </is>
      </c>
      <c r="B5" t="inlineStr">
        <is>
          <t>SAT1</t>
        </is>
      </c>
      <c r="C5" t="inlineStr">
        <is>
          <t>covarianza</t>
        </is>
      </c>
      <c r="D5" t="inlineStr">
        <is>
          <t>Σ(CAL1,SAT1)</t>
        </is>
      </c>
      <c r="E5" t="inlineStr">
        <is>
          <t>—</t>
        </is>
      </c>
      <c r="F5" t="inlineStr">
        <is>
          <t>Σ completa (Λ, Ψ, rutas β)</t>
        </is>
      </c>
      <c r="G5" t="inlineStr">
        <is>
          <t>Calidad↔Satisfaccion</t>
        </is>
      </c>
      <c r="H5" t="n">
        <v>1</v>
      </c>
      <c r="K5" t="n">
        <v>1.703442355662581</v>
      </c>
      <c r="L5" t="n">
        <v>1.703442355662581</v>
      </c>
      <c r="O5" t="n">
        <v>1.736842105263158</v>
      </c>
      <c r="P5" t="n">
        <v>0.03339974960057668</v>
      </c>
      <c r="Q5" t="inlineStr">
        <is>
          <t>Ítems de factores distintos: ver Matriz_Sigma_Modelo</t>
        </is>
      </c>
      <c r="R5" t="n">
        <v>1</v>
      </c>
      <c r="S5" t="inlineStr">
        <is>
          <t>Sí</t>
        </is>
      </c>
      <c r="T5" t="inlineStr">
        <is>
          <t>No</t>
        </is>
      </c>
    </row>
    <row r="6">
      <c r="A6" t="inlineStr">
        <is>
          <t>CAL1</t>
        </is>
      </c>
      <c r="B6" t="inlineStr">
        <is>
          <t>SAT2</t>
        </is>
      </c>
      <c r="C6" t="inlineStr">
        <is>
          <t>covarianza</t>
        </is>
      </c>
      <c r="D6" t="inlineStr">
        <is>
          <t>Σ(CAL1,SAT2)</t>
        </is>
      </c>
      <c r="E6" t="inlineStr">
        <is>
          <t>—</t>
        </is>
      </c>
      <c r="F6" t="inlineStr">
        <is>
          <t>Σ completa (Λ, Ψ, rutas β)</t>
        </is>
      </c>
      <c r="G6" t="inlineStr">
        <is>
          <t>Calidad↔Satisfaccion</t>
        </is>
      </c>
      <c r="H6" t="n">
        <v>1</v>
      </c>
      <c r="K6" t="n">
        <v>1.188267755804913</v>
      </c>
      <c r="L6" t="n">
        <v>1.188267755804913</v>
      </c>
      <c r="O6" t="n">
        <v>1.105263157894737</v>
      </c>
      <c r="P6" t="n">
        <v>-0.08300459791017611</v>
      </c>
      <c r="Q6" t="inlineStr">
        <is>
          <t>Ítems de factores distintos: ver Matriz_Sigma_Modelo</t>
        </is>
      </c>
      <c r="R6" t="n">
        <v>0.6975685158085183</v>
      </c>
      <c r="S6" t="inlineStr">
        <is>
          <t>Sí</t>
        </is>
      </c>
      <c r="T6" t="inlineStr">
        <is>
          <t>No</t>
        </is>
      </c>
    </row>
    <row r="7">
      <c r="A7" t="inlineStr">
        <is>
          <t>CAL1</t>
        </is>
      </c>
      <c r="B7" t="inlineStr">
        <is>
          <t>SAT3</t>
        </is>
      </c>
      <c r="C7" t="inlineStr">
        <is>
          <t>covarianza</t>
        </is>
      </c>
      <c r="D7" t="inlineStr">
        <is>
          <t>Σ(CAL1,SAT3)</t>
        </is>
      </c>
      <c r="E7" t="inlineStr">
        <is>
          <t>—</t>
        </is>
      </c>
      <c r="F7" t="inlineStr">
        <is>
          <t>Σ completa (Λ, Ψ, rutas β)</t>
        </is>
      </c>
      <c r="G7" t="inlineStr">
        <is>
          <t>Calidad↔Satisfaccion</t>
        </is>
      </c>
      <c r="H7" t="n">
        <v>1</v>
      </c>
      <c r="K7" t="n">
        <v>0.7569650709023401</v>
      </c>
      <c r="L7" t="n">
        <v>0.7569650709023401</v>
      </c>
      <c r="O7" t="n">
        <v>0.7894736842105263</v>
      </c>
      <c r="P7" t="n">
        <v>0.03250861330818622</v>
      </c>
      <c r="Q7" t="inlineStr">
        <is>
          <t>Ítems de factores distintos: ver Matriz_Sigma_Modelo</t>
        </is>
      </c>
      <c r="R7" t="n">
        <v>0.4443737520004934</v>
      </c>
      <c r="S7" t="inlineStr">
        <is>
          <t>Sí</t>
        </is>
      </c>
      <c r="T7" t="inlineStr">
        <is>
          <t>No</t>
        </is>
      </c>
    </row>
    <row r="8">
      <c r="A8" t="inlineStr">
        <is>
          <t>CAL2</t>
        </is>
      </c>
      <c r="B8" t="inlineStr">
        <is>
          <t>CAL2</t>
        </is>
      </c>
      <c r="C8" t="inlineStr">
        <is>
          <t>varianza</t>
        </is>
      </c>
      <c r="D8" t="inlineStr">
        <is>
          <t>Σ(CAL2,CAL2)</t>
        </is>
      </c>
      <c r="E8" t="inlineStr">
        <is>
          <t>λ² + σ  (varianza del ítem; línea central del dibujo)</t>
        </is>
      </c>
      <c r="F8" t="inlineStr">
        <is>
          <t>λ² × ψ + θ</t>
        </is>
      </c>
      <c r="G8" t="inlineStr">
        <is>
          <t>Calidad</t>
        </is>
      </c>
      <c r="H8" t="n">
        <v>0.6082638220995854</v>
      </c>
      <c r="I8" t="n">
        <v>1.420434537278578</v>
      </c>
      <c r="J8" t="n">
        <v>1.849786144839741</v>
      </c>
      <c r="K8" t="n">
        <v>1.790419414553774</v>
      </c>
      <c r="L8" t="n">
        <v>2.104827437062468</v>
      </c>
      <c r="M8" t="n">
        <v>1.790419414553774</v>
      </c>
      <c r="N8" t="n">
        <v>2.104827437062468</v>
      </c>
      <c r="O8" t="n">
        <v>2.105263157894737</v>
      </c>
      <c r="P8" t="n">
        <v>0.0004357208322689488</v>
      </c>
      <c r="S8" t="inlineStr">
        <is>
          <t>No</t>
        </is>
      </c>
      <c r="T8" t="inlineStr">
        <is>
          <t>Sí</t>
        </is>
      </c>
    </row>
    <row r="9">
      <c r="A9" t="inlineStr">
        <is>
          <t>CAL2</t>
        </is>
      </c>
      <c r="B9" t="inlineStr">
        <is>
          <t>CAL3</t>
        </is>
      </c>
      <c r="C9" t="inlineStr">
        <is>
          <t>covarianza</t>
        </is>
      </c>
      <c r="D9" t="inlineStr">
        <is>
          <t>Σ(CAL2,CAL3)</t>
        </is>
      </c>
      <c r="E9" t="inlineStr">
        <is>
          <t>λ₁ × λ₂</t>
        </is>
      </c>
      <c r="F9" t="inlineStr">
        <is>
          <t>λ₁ × λ₂ × ψ</t>
        </is>
      </c>
      <c r="G9" t="inlineStr">
        <is>
          <t>Calidad=Calidad</t>
        </is>
      </c>
      <c r="H9" t="n">
        <v>0.6082638220995854</v>
      </c>
      <c r="J9" t="n">
        <v>1.849786144839741</v>
      </c>
      <c r="K9" t="n">
        <v>0.3944746823214531</v>
      </c>
      <c r="L9" t="n">
        <v>0.7296938018482821</v>
      </c>
      <c r="M9" t="n">
        <v>0.3944746823214531</v>
      </c>
      <c r="N9" t="n">
        <v>0.7296938018482821</v>
      </c>
      <c r="O9" t="n">
        <v>1.263157894736842</v>
      </c>
      <c r="P9" t="n">
        <v>0.5334640928885599</v>
      </c>
      <c r="Q9" t="inlineStr">
        <is>
          <t>Covarianza entre ítems del mismo factor (tu hipótesis en Σ)</t>
        </is>
      </c>
      <c r="R9" t="n">
        <v>0.6485256363921466</v>
      </c>
      <c r="S9" t="inlineStr">
        <is>
          <t>No</t>
        </is>
      </c>
      <c r="T9" t="inlineStr">
        <is>
          <t>Sí</t>
        </is>
      </c>
    </row>
    <row r="10">
      <c r="A10" t="inlineStr">
        <is>
          <t>CAL2</t>
        </is>
      </c>
      <c r="B10" t="inlineStr">
        <is>
          <t>SAT1</t>
        </is>
      </c>
      <c r="C10" t="inlineStr">
        <is>
          <t>covarianza</t>
        </is>
      </c>
      <c r="D10" t="inlineStr">
        <is>
          <t>Σ(CAL2,SAT1)</t>
        </is>
      </c>
      <c r="E10" t="inlineStr">
        <is>
          <t>—</t>
        </is>
      </c>
      <c r="F10" t="inlineStr">
        <is>
          <t>Σ completa (Λ, Ψ, rutas β)</t>
        </is>
      </c>
      <c r="G10" t="inlineStr">
        <is>
          <t>Calidad↔Satisfaccion</t>
        </is>
      </c>
      <c r="H10" t="n">
        <v>0.6082638220995854</v>
      </c>
      <c r="K10" t="n">
        <v>1.036142357981643</v>
      </c>
      <c r="L10" t="n">
        <v>1.036142357981643</v>
      </c>
      <c r="O10" t="n">
        <v>0.7894736842105263</v>
      </c>
      <c r="P10" t="n">
        <v>-0.2466686737711168</v>
      </c>
      <c r="Q10" t="inlineStr">
        <is>
          <t>Ítems de factores distintos: ver Matriz_Sigma_Modelo</t>
        </is>
      </c>
      <c r="R10" t="n">
        <v>1</v>
      </c>
      <c r="S10" t="inlineStr">
        <is>
          <t>Sí</t>
        </is>
      </c>
      <c r="T10" t="inlineStr">
        <is>
          <t>No</t>
        </is>
      </c>
    </row>
    <row r="11">
      <c r="A11" t="inlineStr">
        <is>
          <t>CAL2</t>
        </is>
      </c>
      <c r="B11" t="inlineStr">
        <is>
          <t>SAT2</t>
        </is>
      </c>
      <c r="C11" t="inlineStr">
        <is>
          <t>covarianza</t>
        </is>
      </c>
      <c r="D11" t="inlineStr">
        <is>
          <t>Σ(CAL2,SAT2)</t>
        </is>
      </c>
      <c r="E11" t="inlineStr">
        <is>
          <t>—</t>
        </is>
      </c>
      <c r="F11" t="inlineStr">
        <is>
          <t>Σ completa (Λ, Ψ, rutas β)</t>
        </is>
      </c>
      <c r="G11" t="inlineStr">
        <is>
          <t>Calidad↔Satisfaccion</t>
        </is>
      </c>
      <c r="H11" t="n">
        <v>0.6082638220995854</v>
      </c>
      <c r="K11" t="n">
        <v>0.7227802868235932</v>
      </c>
      <c r="L11" t="n">
        <v>0.7227802868235932</v>
      </c>
      <c r="O11" t="n">
        <v>0.8947368421052631</v>
      </c>
      <c r="P11" t="n">
        <v>0.1719565552816699</v>
      </c>
      <c r="Q11" t="inlineStr">
        <is>
          <t>Ítems de factores distintos: ver Matriz_Sigma_Modelo</t>
        </is>
      </c>
      <c r="R11" t="n">
        <v>0.6975685158085183</v>
      </c>
      <c r="S11" t="inlineStr">
        <is>
          <t>Sí</t>
        </is>
      </c>
      <c r="T11" t="inlineStr">
        <is>
          <t>No</t>
        </is>
      </c>
    </row>
    <row r="12">
      <c r="A12" t="inlineStr">
        <is>
          <t>CAL2</t>
        </is>
      </c>
      <c r="B12" t="inlineStr">
        <is>
          <t>SAT3</t>
        </is>
      </c>
      <c r="C12" t="inlineStr">
        <is>
          <t>covarianza</t>
        </is>
      </c>
      <c r="D12" t="inlineStr">
        <is>
          <t>Σ(CAL2,SAT3)</t>
        </is>
      </c>
      <c r="E12" t="inlineStr">
        <is>
          <t>—</t>
        </is>
      </c>
      <c r="F12" t="inlineStr">
        <is>
          <t>Σ completa (Λ, Ψ, rutas β)</t>
        </is>
      </c>
      <c r="G12" t="inlineStr">
        <is>
          <t>Calidad↔Satisfaccion</t>
        </is>
      </c>
      <c r="H12" t="n">
        <v>0.6082638220995854</v>
      </c>
      <c r="K12" t="n">
        <v>0.4604344672229411</v>
      </c>
      <c r="L12" t="n">
        <v>0.4604344672229411</v>
      </c>
      <c r="O12" t="n">
        <v>1.263157894736842</v>
      </c>
      <c r="P12" t="n">
        <v>0.8027234275139009</v>
      </c>
      <c r="Q12" t="inlineStr">
        <is>
          <t>Ítems de factores distintos: ver Matriz_Sigma_Modelo</t>
        </is>
      </c>
      <c r="R12" t="n">
        <v>0.4443737520004934</v>
      </c>
      <c r="S12" t="inlineStr">
        <is>
          <t>Sí</t>
        </is>
      </c>
      <c r="T12" t="inlineStr">
        <is>
          <t>No</t>
        </is>
      </c>
    </row>
    <row r="13">
      <c r="A13" t="inlineStr">
        <is>
          <t>CAL3</t>
        </is>
      </c>
      <c r="B13" t="inlineStr">
        <is>
          <t>CAL3</t>
        </is>
      </c>
      <c r="C13" t="inlineStr">
        <is>
          <t>varianza</t>
        </is>
      </c>
      <c r="D13" t="inlineStr">
        <is>
          <t>Σ(CAL3,CAL3)</t>
        </is>
      </c>
      <c r="E13" t="inlineStr">
        <is>
          <t>λ² + σ  (varianza del ítem; línea central del dibujo)</t>
        </is>
      </c>
      <c r="F13" t="inlineStr">
        <is>
          <t>λ² × ψ + θ</t>
        </is>
      </c>
      <c r="G13" t="inlineStr">
        <is>
          <t>Calidad</t>
        </is>
      </c>
      <c r="H13" t="n">
        <v>0.6485256363921466</v>
      </c>
      <c r="I13" t="n">
        <v>1.327558136934401</v>
      </c>
      <c r="J13" t="n">
        <v>1.849786144839741</v>
      </c>
      <c r="K13" t="n">
        <v>1.748143637992239</v>
      </c>
      <c r="L13" t="n">
        <v>2.105551369511671</v>
      </c>
      <c r="M13" t="n">
        <v>1.748143637992239</v>
      </c>
      <c r="N13" t="n">
        <v>2.105551369511671</v>
      </c>
      <c r="O13" t="n">
        <v>2.105263157894737</v>
      </c>
      <c r="P13" t="n">
        <v>-0.0002882116169340421</v>
      </c>
      <c r="S13" t="inlineStr">
        <is>
          <t>No</t>
        </is>
      </c>
      <c r="T13" t="inlineStr">
        <is>
          <t>Sí</t>
        </is>
      </c>
    </row>
    <row r="14">
      <c r="A14" t="inlineStr">
        <is>
          <t>CAL3</t>
        </is>
      </c>
      <c r="B14" t="inlineStr">
        <is>
          <t>SAT1</t>
        </is>
      </c>
      <c r="C14" t="inlineStr">
        <is>
          <t>covarianza</t>
        </is>
      </c>
      <c r="D14" t="inlineStr">
        <is>
          <t>Σ(CAL3,SAT1)</t>
        </is>
      </c>
      <c r="E14" t="inlineStr">
        <is>
          <t>—</t>
        </is>
      </c>
      <c r="F14" t="inlineStr">
        <is>
          <t>Σ completa (Λ, Ψ, rutas β)</t>
        </is>
      </c>
      <c r="G14" t="inlineStr">
        <is>
          <t>Calidad↔Satisfaccion</t>
        </is>
      </c>
      <c r="H14" t="n">
        <v>0.6485256363921466</v>
      </c>
      <c r="K14" t="n">
        <v>1.104726037763413</v>
      </c>
      <c r="L14" t="n">
        <v>1.104726037763413</v>
      </c>
      <c r="O14" t="n">
        <v>1.052631578947368</v>
      </c>
      <c r="P14" t="n">
        <v>-0.05209445881604435</v>
      </c>
      <c r="Q14" t="inlineStr">
        <is>
          <t>Ítems de factores distintos: ver Matriz_Sigma_Modelo</t>
        </is>
      </c>
      <c r="R14" t="n">
        <v>1</v>
      </c>
      <c r="S14" t="inlineStr">
        <is>
          <t>Sí</t>
        </is>
      </c>
      <c r="T14" t="inlineStr">
        <is>
          <t>No</t>
        </is>
      </c>
    </row>
    <row r="15">
      <c r="A15" t="inlineStr">
        <is>
          <t>CAL3</t>
        </is>
      </c>
      <c r="B15" t="inlineStr">
        <is>
          <t>SAT2</t>
        </is>
      </c>
      <c r="C15" t="inlineStr">
        <is>
          <t>covarianza</t>
        </is>
      </c>
      <c r="D15" t="inlineStr">
        <is>
          <t>Σ(CAL3,SAT2)</t>
        </is>
      </c>
      <c r="E15" t="inlineStr">
        <is>
          <t>—</t>
        </is>
      </c>
      <c r="F15" t="inlineStr">
        <is>
          <t>Σ completa (Λ, Ψ, rutas β)</t>
        </is>
      </c>
      <c r="G15" t="inlineStr">
        <is>
          <t>Calidad↔Satisfaccion</t>
        </is>
      </c>
      <c r="H15" t="n">
        <v>0.6485256363921466</v>
      </c>
      <c r="K15" t="n">
        <v>0.770622102537649</v>
      </c>
      <c r="L15" t="n">
        <v>0.770622102537649</v>
      </c>
      <c r="O15" t="n">
        <v>0.5789473684210527</v>
      </c>
      <c r="P15" t="n">
        <v>-0.1916747341165963</v>
      </c>
      <c r="Q15" t="inlineStr">
        <is>
          <t>Ítems de factores distintos: ver Matriz_Sigma_Modelo</t>
        </is>
      </c>
      <c r="R15" t="n">
        <v>0.6975685158085183</v>
      </c>
      <c r="S15" t="inlineStr">
        <is>
          <t>Sí</t>
        </is>
      </c>
      <c r="T15" t="inlineStr">
        <is>
          <t>No</t>
        </is>
      </c>
    </row>
    <row r="16">
      <c r="A16" t="inlineStr">
        <is>
          <t>CAL3</t>
        </is>
      </c>
      <c r="B16" t="inlineStr">
        <is>
          <t>SAT3</t>
        </is>
      </c>
      <c r="C16" t="inlineStr">
        <is>
          <t>covarianza</t>
        </is>
      </c>
      <c r="D16" t="inlineStr">
        <is>
          <t>Σ(CAL3,SAT3)</t>
        </is>
      </c>
      <c r="E16" t="inlineStr">
        <is>
          <t>—</t>
        </is>
      </c>
      <c r="F16" t="inlineStr">
        <is>
          <t>Σ completa (Λ, Ψ, rutas β)</t>
        </is>
      </c>
      <c r="G16" t="inlineStr">
        <is>
          <t>Calidad↔Satisfaccion</t>
        </is>
      </c>
      <c r="H16" t="n">
        <v>0.6485256363921466</v>
      </c>
      <c r="K16" t="n">
        <v>0.4909112543335665</v>
      </c>
      <c r="L16" t="n">
        <v>0.4909112543335665</v>
      </c>
      <c r="O16" t="n">
        <v>1</v>
      </c>
      <c r="P16" t="n">
        <v>0.5090887456664335</v>
      </c>
      <c r="Q16" t="inlineStr">
        <is>
          <t>Ítems de factores distintos: ver Matriz_Sigma_Modelo</t>
        </is>
      </c>
      <c r="R16" t="n">
        <v>0.4443737520004934</v>
      </c>
      <c r="S16" t="inlineStr">
        <is>
          <t>Sí</t>
        </is>
      </c>
      <c r="T16" t="inlineStr">
        <is>
          <t>No</t>
        </is>
      </c>
    </row>
    <row r="17">
      <c r="A17" t="inlineStr">
        <is>
          <t>SAT1</t>
        </is>
      </c>
      <c r="B17" t="inlineStr">
        <is>
          <t>SAT1</t>
        </is>
      </c>
      <c r="C17" t="inlineStr">
        <is>
          <t>varianza</t>
        </is>
      </c>
      <c r="D17" t="inlineStr">
        <is>
          <t>Σ(SAT1,SAT1)</t>
        </is>
      </c>
      <c r="E17" t="inlineStr">
        <is>
          <t>λ² + σ  (varianza del ítem; línea central del dibujo)</t>
        </is>
      </c>
      <c r="F17" t="inlineStr">
        <is>
          <t>λ² × ψ + θ</t>
        </is>
      </c>
      <c r="G17" t="inlineStr">
        <is>
          <t>Satisfaccion</t>
        </is>
      </c>
      <c r="H17" t="n">
        <v>1</v>
      </c>
      <c r="I17" t="n">
        <v>0.4630321787521087</v>
      </c>
      <c r="J17" t="n">
        <v>0.07391657957377637</v>
      </c>
      <c r="K17" t="n">
        <v>1.463032178752109</v>
      </c>
      <c r="L17" t="n">
        <v>2.105625152167443</v>
      </c>
      <c r="M17" t="n">
        <v>1.463032178752109</v>
      </c>
      <c r="N17" t="n">
        <v>0.5369487583258851</v>
      </c>
      <c r="O17" t="n">
        <v>2.105263157894737</v>
      </c>
      <c r="P17" t="n">
        <v>-0.0003619942727066672</v>
      </c>
      <c r="S17" t="inlineStr">
        <is>
          <t>No</t>
        </is>
      </c>
      <c r="T17" t="inlineStr">
        <is>
          <t>No</t>
        </is>
      </c>
    </row>
    <row r="18">
      <c r="A18" t="inlineStr">
        <is>
          <t>SAT1</t>
        </is>
      </c>
      <c r="B18" t="inlineStr">
        <is>
          <t>SAT2</t>
        </is>
      </c>
      <c r="C18" t="inlineStr">
        <is>
          <t>covarianza</t>
        </is>
      </c>
      <c r="D18" t="inlineStr">
        <is>
          <t>Σ(SAT1,SAT2)</t>
        </is>
      </c>
      <c r="E18" t="inlineStr">
        <is>
          <t>λ₁ × λ₂</t>
        </is>
      </c>
      <c r="F18" t="inlineStr">
        <is>
          <t>λ₁ × λ₂ × ψ</t>
        </is>
      </c>
      <c r="G18" t="inlineStr">
        <is>
          <t>Satisfaccion=Satisfaccion</t>
        </is>
      </c>
      <c r="H18" t="n">
        <v>1</v>
      </c>
      <c r="J18" t="n">
        <v>0.07391657957377637</v>
      </c>
      <c r="K18" t="n">
        <v>0.6975685158085183</v>
      </c>
      <c r="L18" t="n">
        <v>1.145821142542836</v>
      </c>
      <c r="M18" t="n">
        <v>0.6975685158085183</v>
      </c>
      <c r="N18" t="n">
        <v>0.05156187870692142</v>
      </c>
      <c r="O18" t="n">
        <v>1.263157894736842</v>
      </c>
      <c r="P18" t="n">
        <v>0.1173367521940059</v>
      </c>
      <c r="Q18" t="inlineStr">
        <is>
          <t>Covarianza entre ítems del mismo factor (tu hipótesis en Σ)</t>
        </is>
      </c>
      <c r="R18" t="n">
        <v>0.6975685158085183</v>
      </c>
      <c r="S18" t="inlineStr">
        <is>
          <t>No</t>
        </is>
      </c>
      <c r="T18" t="inlineStr">
        <is>
          <t>No</t>
        </is>
      </c>
    </row>
    <row r="19">
      <c r="A19" t="inlineStr">
        <is>
          <t>SAT1</t>
        </is>
      </c>
      <c r="B19" t="inlineStr">
        <is>
          <t>SAT3</t>
        </is>
      </c>
      <c r="C19" t="inlineStr">
        <is>
          <t>covarianza</t>
        </is>
      </c>
      <c r="D19" t="inlineStr">
        <is>
          <t>Σ(SAT1,SAT3)</t>
        </is>
      </c>
      <c r="E19" t="inlineStr">
        <is>
          <t>λ₁ × λ₂</t>
        </is>
      </c>
      <c r="F19" t="inlineStr">
        <is>
          <t>λ₁ × λ₂ × ψ</t>
        </is>
      </c>
      <c r="G19" t="inlineStr">
        <is>
          <t>Satisfaccion=Satisfaccion</t>
        </is>
      </c>
      <c r="H19" t="n">
        <v>1</v>
      </c>
      <c r="J19" t="n">
        <v>0.07391657957377637</v>
      </c>
      <c r="K19" t="n">
        <v>0.4443737520004934</v>
      </c>
      <c r="L19" t="n">
        <v>0.7299252026062192</v>
      </c>
      <c r="M19" t="n">
        <v>0.4443737520004934</v>
      </c>
      <c r="N19" t="n">
        <v>0.03284658780024204</v>
      </c>
      <c r="O19" t="n">
        <v>0.4736842105263158</v>
      </c>
      <c r="P19" t="n">
        <v>-0.2562409920799034</v>
      </c>
      <c r="Q19" t="inlineStr">
        <is>
          <t>Covarianza entre ítems del mismo factor (tu hipótesis en Σ)</t>
        </is>
      </c>
      <c r="R19" t="n">
        <v>0.4443737520004934</v>
      </c>
      <c r="S19" t="inlineStr">
        <is>
          <t>No</t>
        </is>
      </c>
      <c r="T19" t="inlineStr">
        <is>
          <t>No</t>
        </is>
      </c>
    </row>
    <row r="20">
      <c r="A20" t="inlineStr">
        <is>
          <t>SAT2</t>
        </is>
      </c>
      <c r="B20" t="inlineStr">
        <is>
          <t>SAT2</t>
        </is>
      </c>
      <c r="C20" t="inlineStr">
        <is>
          <t>varianza</t>
        </is>
      </c>
      <c r="D20" t="inlineStr">
        <is>
          <t>Σ(SAT2,SAT2)</t>
        </is>
      </c>
      <c r="E20" t="inlineStr">
        <is>
          <t>λ² + σ  (varianza del ítem; línea central del dibujo)</t>
        </is>
      </c>
      <c r="F20" t="inlineStr">
        <is>
          <t>λ² × ψ + θ</t>
        </is>
      </c>
      <c r="G20" t="inlineStr">
        <is>
          <t>Satisfaccion</t>
        </is>
      </c>
      <c r="H20" t="n">
        <v>0.6975685158085183</v>
      </c>
      <c r="I20" t="n">
        <v>1.305591003318379</v>
      </c>
      <c r="J20" t="n">
        <v>0.07391657957377637</v>
      </c>
      <c r="K20" t="n">
        <v>1.792192837565678</v>
      </c>
      <c r="L20" t="n">
        <v>2.104879757104006</v>
      </c>
      <c r="M20" t="n">
        <v>1.792192837565678</v>
      </c>
      <c r="N20" t="n">
        <v>1.341558946520265</v>
      </c>
      <c r="O20" t="n">
        <v>2.105263157894737</v>
      </c>
      <c r="P20" t="n">
        <v>0.0003834007907310699</v>
      </c>
      <c r="S20" t="inlineStr">
        <is>
          <t>No</t>
        </is>
      </c>
      <c r="T20" t="inlineStr">
        <is>
          <t>No</t>
        </is>
      </c>
    </row>
    <row r="21">
      <c r="A21" t="inlineStr">
        <is>
          <t>SAT2</t>
        </is>
      </c>
      <c r="B21" t="inlineStr">
        <is>
          <t>SAT3</t>
        </is>
      </c>
      <c r="C21" t="inlineStr">
        <is>
          <t>covarianza</t>
        </is>
      </c>
      <c r="D21" t="inlineStr">
        <is>
          <t>Σ(SAT2,SAT3)</t>
        </is>
      </c>
      <c r="E21" t="inlineStr">
        <is>
          <t>λ₁ × λ₂</t>
        </is>
      </c>
      <c r="F21" t="inlineStr">
        <is>
          <t>λ₁ × λ₂ × ψ</t>
        </is>
      </c>
      <c r="G21" t="inlineStr">
        <is>
          <t>Satisfaccion=Satisfaccion</t>
        </is>
      </c>
      <c r="H21" t="n">
        <v>0.6975685158085183</v>
      </c>
      <c r="J21" t="n">
        <v>0.07391657957377637</v>
      </c>
      <c r="K21" t="n">
        <v>0.3099811386472468</v>
      </c>
      <c r="L21" t="n">
        <v>0.5091728402332523</v>
      </c>
      <c r="M21" t="n">
        <v>0.3099811386472468</v>
      </c>
      <c r="N21" t="n">
        <v>0.02291274550118902</v>
      </c>
      <c r="O21" t="n">
        <v>0.5263157894736842</v>
      </c>
      <c r="P21" t="n">
        <v>0.01714294924043192</v>
      </c>
      <c r="Q21" t="inlineStr">
        <is>
          <t>Covarianza entre ítems del mismo factor (tu hipótesis en Σ)</t>
        </is>
      </c>
      <c r="R21" t="n">
        <v>0.4443737520004934</v>
      </c>
      <c r="S21" t="inlineStr">
        <is>
          <t>No</t>
        </is>
      </c>
      <c r="T21" t="inlineStr">
        <is>
          <t>No</t>
        </is>
      </c>
    </row>
    <row r="22">
      <c r="A22" t="inlineStr">
        <is>
          <t>SAT3</t>
        </is>
      </c>
      <c r="B22" t="inlineStr">
        <is>
          <t>SAT3</t>
        </is>
      </c>
      <c r="C22" t="inlineStr">
        <is>
          <t>varianza</t>
        </is>
      </c>
      <c r="D22" t="inlineStr">
        <is>
          <t>Σ(SAT3,SAT3)</t>
        </is>
      </c>
      <c r="E22" t="inlineStr">
        <is>
          <t>λ² + σ  (varianza del ítem; línea central del dibujo)</t>
        </is>
      </c>
      <c r="F22" t="inlineStr">
        <is>
          <t>λ² × ψ + θ</t>
        </is>
      </c>
      <c r="G22" t="inlineStr">
        <is>
          <t>Satisfaccion</t>
        </is>
      </c>
      <c r="H22" t="n">
        <v>0.4443737520004934</v>
      </c>
      <c r="I22" t="n">
        <v>1.78132935661502</v>
      </c>
      <c r="J22" t="n">
        <v>0.07391657957377637</v>
      </c>
      <c r="K22" t="n">
        <v>1.978797388082016</v>
      </c>
      <c r="L22" t="n">
        <v>2.105688957576866</v>
      </c>
      <c r="M22" t="n">
        <v>1.978797388082016</v>
      </c>
      <c r="N22" t="n">
        <v>1.795925518076227</v>
      </c>
      <c r="O22" t="n">
        <v>2.105263157894737</v>
      </c>
      <c r="P22" t="n">
        <v>-0.000425799682129302</v>
      </c>
      <c r="S22" t="inlineStr">
        <is>
          <t>No</t>
        </is>
      </c>
      <c r="T22" t="inlineStr">
        <is>
          <t>No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CAL1</t>
        </is>
      </c>
      <c r="B1" s="1" t="inlineStr">
        <is>
          <t>CAL2</t>
        </is>
      </c>
      <c r="C1" s="1" t="inlineStr">
        <is>
          <t>CAL3</t>
        </is>
      </c>
      <c r="D1" s="1" t="inlineStr">
        <is>
          <t>SAT1</t>
        </is>
      </c>
      <c r="E1" s="1" t="inlineStr">
        <is>
          <t>SAT2</t>
        </is>
      </c>
      <c r="F1" s="1" t="inlineStr">
        <is>
          <t>SAT3</t>
        </is>
      </c>
    </row>
    <row r="2">
      <c r="A2" t="n">
        <v>1.255993806924997</v>
      </c>
      <c r="B2" t="n">
        <v>0.6082638220995854</v>
      </c>
      <c r="C2" t="n">
        <v>0.6485256363921466</v>
      </c>
      <c r="D2" t="n">
        <v>1.703442355662581</v>
      </c>
      <c r="E2" t="n">
        <v>1.188267755804913</v>
      </c>
      <c r="F2" t="n">
        <v>0.7569650709023401</v>
      </c>
    </row>
    <row r="3">
      <c r="A3" t="n">
        <v>0.6082638220995854</v>
      </c>
      <c r="B3" t="n">
        <v>1.790419414553774</v>
      </c>
      <c r="C3" t="n">
        <v>0.3944746823214531</v>
      </c>
      <c r="D3" t="n">
        <v>1.036142357981643</v>
      </c>
      <c r="E3" t="n">
        <v>0.7227802868235932</v>
      </c>
      <c r="F3" t="n">
        <v>0.4604344672229411</v>
      </c>
    </row>
    <row r="4">
      <c r="A4" t="n">
        <v>0.6485256363921466</v>
      </c>
      <c r="B4" t="n">
        <v>0.3944746823214531</v>
      </c>
      <c r="C4" t="n">
        <v>1.748143637992239</v>
      </c>
      <c r="D4" t="n">
        <v>1.104726037763413</v>
      </c>
      <c r="E4" t="n">
        <v>0.770622102537649</v>
      </c>
      <c r="F4" t="n">
        <v>0.4909112543335665</v>
      </c>
    </row>
    <row r="5">
      <c r="A5" t="n">
        <v>1.703442355662581</v>
      </c>
      <c r="B5" t="n">
        <v>1.036142357981643</v>
      </c>
      <c r="C5" t="n">
        <v>1.104726037763413</v>
      </c>
      <c r="D5" t="n">
        <v>1.463032178752109</v>
      </c>
      <c r="E5" t="n">
        <v>0.6975685158085183</v>
      </c>
      <c r="F5" t="n">
        <v>0.4443737520004934</v>
      </c>
    </row>
    <row r="6">
      <c r="A6" t="n">
        <v>1.188267755804913</v>
      </c>
      <c r="B6" t="n">
        <v>0.7227802868235931</v>
      </c>
      <c r="C6" t="n">
        <v>0.7706221025376488</v>
      </c>
      <c r="D6" t="n">
        <v>0.6975685158085183</v>
      </c>
      <c r="E6" t="n">
        <v>1.792192837565678</v>
      </c>
      <c r="F6" t="n">
        <v>0.3099811386472468</v>
      </c>
    </row>
    <row r="7">
      <c r="A7" t="n">
        <v>0.7569650709023401</v>
      </c>
      <c r="B7" t="n">
        <v>0.4604344672229411</v>
      </c>
      <c r="C7" t="n">
        <v>0.4909112543335665</v>
      </c>
      <c r="D7" t="n">
        <v>0.4443737520004934</v>
      </c>
      <c r="E7" t="n">
        <v>0.3099811386472468</v>
      </c>
      <c r="F7" t="n">
        <v>1.978797388082016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parte_dibujo</t>
        </is>
      </c>
      <c r="B1" s="1" t="inlineStr">
        <is>
          <t>simbolo</t>
        </is>
      </c>
      <c r="C1" s="1" t="inlineStr">
        <is>
          <t>que_es</t>
        </is>
      </c>
      <c r="D1" s="1" t="inlineStr">
        <is>
          <t>nota</t>
        </is>
      </c>
    </row>
    <row r="2">
      <c r="A2" t="inlineStr">
        <is>
          <t>Arriba (teoría)</t>
        </is>
      </c>
      <c r="B2" t="inlineStr">
        <is>
          <t>Σ (sigma griega)</t>
        </is>
      </c>
      <c r="C2" t="inlineStr">
        <is>
          <t>Matriz de covarianzas que impone TU modelo según parámetros λ y σ</t>
        </is>
      </c>
      <c r="D2" t="inlineStr">
        <is>
          <t>En Excel: hoja Matriz_Sigma_Teoria</t>
        </is>
      </c>
    </row>
    <row r="3">
      <c r="A3" t="inlineStr">
        <is>
          <t>Abajo (datos)</t>
        </is>
      </c>
      <c r="B3" t="inlineStr">
        <is>
          <t>S</t>
        </is>
      </c>
      <c r="C3" t="inlineStr">
        <is>
          <t>Matriz observada (DATA) — Matriz_Covarianzas</t>
        </is>
      </c>
      <c r="D3" t="inlineStr">
        <is>
          <t>DATA = Σ (modelo) + residual</t>
        </is>
      </c>
    </row>
    <row r="4">
      <c r="A4" t="inlineStr">
        <is>
          <t>Diagonal ítem 1</t>
        </is>
      </c>
      <c r="B4" t="inlineStr">
        <is>
          <t>Σ(1,1)</t>
        </is>
      </c>
      <c r="C4" t="inlineStr">
        <is>
          <t>Varianza del ítem 1 = covarianza de 1 consigo misma</t>
        </is>
      </c>
      <c r="D4" t="inlineStr">
        <is>
          <t>Fórmula tesis: λ₁² + σ₁</t>
        </is>
      </c>
    </row>
    <row r="5">
      <c r="A5" t="inlineStr">
        <is>
          <t>Fuera diagonal 1–2</t>
        </is>
      </c>
      <c r="B5" t="inlineStr">
        <is>
          <t>Σ(1,2)</t>
        </is>
      </c>
      <c r="C5" t="inlineStr">
        <is>
          <t>Covarianza entre ítem 1 e ítem 2</t>
        </is>
      </c>
      <c r="D5" t="inlineStr">
        <is>
          <t>Fórmula tesis: λ₁ × λ₂ (con Var(F)=1)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ecuacion</t>
        </is>
      </c>
      <c r="B1" s="1" t="inlineStr">
        <is>
          <t>tipo</t>
        </is>
      </c>
      <c r="C1" s="1" t="inlineStr">
        <is>
          <t>momento_DATA</t>
        </is>
      </c>
      <c r="D1" s="1" t="inlineStr">
        <is>
          <t>valor_DATA</t>
        </is>
      </c>
      <c r="E1" s="1" t="inlineStr">
        <is>
          <t>teoria</t>
        </is>
      </c>
      <c r="F1" s="1" t="inlineStr">
        <is>
          <t>parametros</t>
        </is>
      </c>
    </row>
    <row r="2">
      <c r="A2" t="n">
        <v>1</v>
      </c>
      <c r="B2" t="inlineStr">
        <is>
          <t>varianza</t>
        </is>
      </c>
      <c r="C2" t="inlineStr">
        <is>
          <t>Var(CAL1)</t>
        </is>
      </c>
      <c r="D2" t="n">
        <v>2.105263157894737</v>
      </c>
      <c r="E2" t="inlineStr">
        <is>
          <t>λ1² + θ1 = Var(CAL1)</t>
        </is>
      </c>
      <c r="F2" t="inlineStr">
        <is>
          <t>λ1, θ1</t>
        </is>
      </c>
    </row>
    <row r="3">
      <c r="A3" t="n">
        <v>2</v>
      </c>
      <c r="B3" t="inlineStr">
        <is>
          <t>varianza</t>
        </is>
      </c>
      <c r="C3" t="inlineStr">
        <is>
          <t>Var(CAL2)</t>
        </is>
      </c>
      <c r="D3" t="n">
        <v>2.105263157894737</v>
      </c>
      <c r="E3" t="inlineStr">
        <is>
          <t>λ2² + θ2 = Var(CAL2)</t>
        </is>
      </c>
      <c r="F3" t="inlineStr">
        <is>
          <t>λ2, θ2</t>
        </is>
      </c>
    </row>
    <row r="4">
      <c r="A4" t="n">
        <v>3</v>
      </c>
      <c r="B4" t="inlineStr">
        <is>
          <t>varianza</t>
        </is>
      </c>
      <c r="C4" t="inlineStr">
        <is>
          <t>Var(CAL3)</t>
        </is>
      </c>
      <c r="D4" t="n">
        <v>2.105263157894737</v>
      </c>
      <c r="E4" t="inlineStr">
        <is>
          <t>λ3² + θ3 = Var(CAL3)</t>
        </is>
      </c>
      <c r="F4" t="inlineStr">
        <is>
          <t>λ3, θ3</t>
        </is>
      </c>
    </row>
    <row r="5">
      <c r="A5" t="n">
        <v>4</v>
      </c>
      <c r="B5" t="inlineStr">
        <is>
          <t>covarianza</t>
        </is>
      </c>
      <c r="C5" t="inlineStr">
        <is>
          <t>Cov(CAL1,CAL2)</t>
        </is>
      </c>
      <c r="D5" t="n">
        <v>1.105263157894737</v>
      </c>
      <c r="E5" t="inlineStr">
        <is>
          <t>λ1 × λ2 = Cov(CAL1,CAL2)</t>
        </is>
      </c>
      <c r="F5" t="inlineStr">
        <is>
          <t>λ1, λ2</t>
        </is>
      </c>
    </row>
    <row r="6">
      <c r="A6" t="n">
        <v>5</v>
      </c>
      <c r="B6" t="inlineStr">
        <is>
          <t>covarianza</t>
        </is>
      </c>
      <c r="C6" t="inlineStr">
        <is>
          <t>Cov(CAL1,CAL3)</t>
        </is>
      </c>
      <c r="D6" t="n">
        <v>1.157894736842105</v>
      </c>
      <c r="E6" t="inlineStr">
        <is>
          <t>λ1 × λ3 = Cov(CAL1,CAL3)</t>
        </is>
      </c>
      <c r="F6" t="inlineStr">
        <is>
          <t>λ1, λ3</t>
        </is>
      </c>
    </row>
    <row r="7">
      <c r="A7" t="n">
        <v>6</v>
      </c>
      <c r="B7" t="inlineStr">
        <is>
          <t>covarianza</t>
        </is>
      </c>
      <c r="C7" t="inlineStr">
        <is>
          <t>Cov(CAL2,CAL3)</t>
        </is>
      </c>
      <c r="D7" t="n">
        <v>1.263157894736842</v>
      </c>
      <c r="E7" t="inlineStr">
        <is>
          <t>λ2 × λ3 = Cov(CAL2,CAL3)</t>
        </is>
      </c>
      <c r="F7" t="inlineStr">
        <is>
          <t>λ2, λ3</t>
        </is>
      </c>
    </row>
    <row r="8">
      <c r="A8" t="inlineStr">
        <is>
          <t>—</t>
        </is>
      </c>
      <c r="B8" t="inlineStr">
        <is>
          <t>resumen</t>
        </is>
      </c>
      <c r="C8" t="inlineStr">
        <is>
          <t>N=20; factor Calidad con Var(F)=1</t>
        </is>
      </c>
      <c r="D8" t="n">
        <v>6</v>
      </c>
      <c r="E8" t="inlineStr">
        <is>
          <t>3×(3+1)/2 = 6 ecuaciones</t>
        </is>
      </c>
      <c r="F8" t="inlineStr">
        <is>
          <t>6 incógnitas (λ₁…λ3, θ₁…θ3); GL=0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cantidad</t>
        </is>
      </c>
      <c r="C1" s="1" t="inlineStr">
        <is>
          <t>detalle</t>
        </is>
      </c>
    </row>
    <row r="2">
      <c r="A2" t="inlineStr">
        <is>
          <t>Ítems (p)</t>
        </is>
      </c>
      <c r="B2" t="n">
        <v>3</v>
      </c>
      <c r="C2" t="inlineStr">
        <is>
          <t>Matriz S de 3×3</t>
        </is>
      </c>
    </row>
    <row r="3">
      <c r="A3" t="inlineStr">
        <is>
          <t>Ecuaciones (momentos)</t>
        </is>
      </c>
      <c r="B3" t="n">
        <v>6</v>
      </c>
      <c r="C3" t="inlineStr">
        <is>
          <t>p×(p+1)/2 = 3×4/2 = 6</t>
        </is>
      </c>
    </row>
    <row r="4">
      <c r="A4" t="inlineStr">
        <is>
          <t>Incógnitas</t>
        </is>
      </c>
      <c r="B4" t="n">
        <v>6</v>
      </c>
      <c r="C4" t="inlineStr">
        <is>
          <t>p cargas λ + p errores θ = 2×3 (Var(F)=1 fijada)</t>
        </is>
      </c>
    </row>
    <row r="5">
      <c r="A5" t="inlineStr">
        <is>
          <t>Grados de libertad</t>
        </is>
      </c>
      <c r="B5" t="n">
        <v>0</v>
      </c>
      <c r="C5" t="inlineStr">
        <is>
          <t>(3)(4)/2 − 6 = 0</t>
        </is>
      </c>
    </row>
    <row r="6">
      <c r="A6" t="inlineStr">
        <is>
          <t>Estado</t>
        </is>
      </c>
      <c r="B6" t="n">
        <v>0</v>
      </c>
      <c r="C6" t="inlineStr">
        <is>
          <t>Just-identificado</t>
        </is>
      </c>
    </row>
    <row r="7">
      <c r="A7" t="inlineStr">
        <is>
          <t>Interpretación</t>
        </is>
      </c>
      <c r="B7" t="n">
        <v>0</v>
      </c>
      <c r="C7" t="inlineStr">
        <is>
          <t>Solución única pero no contrastable (GL=0)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ecuacion</t>
        </is>
      </c>
      <c r="B1" s="1" t="inlineStr">
        <is>
          <t>valor_DATA</t>
        </is>
      </c>
    </row>
    <row r="2">
      <c r="A2" t="inlineStr">
        <is>
          <t>λ1² + θ1 = Var(CAL1)</t>
        </is>
      </c>
      <c r="B2" t="n">
        <v>2.105263157894737</v>
      </c>
    </row>
    <row r="3">
      <c r="A3" t="inlineStr">
        <is>
          <t>λ2² + θ2 = Var(CAL2)</t>
        </is>
      </c>
      <c r="B3" t="n">
        <v>2.105263157894737</v>
      </c>
    </row>
    <row r="4">
      <c r="A4" t="inlineStr">
        <is>
          <t>λ3² + θ3 = Var(CAL3)</t>
        </is>
      </c>
      <c r="B4" t="n">
        <v>2.105263157894737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ecuacion</t>
        </is>
      </c>
      <c r="B1" s="1" t="inlineStr">
        <is>
          <t>valor_DATA</t>
        </is>
      </c>
    </row>
    <row r="2">
      <c r="A2" t="inlineStr">
        <is>
          <t>λ1 × λ2 = Cov(CAL1,CAL2)</t>
        </is>
      </c>
      <c r="B2" t="n">
        <v>1.105263157894737</v>
      </c>
    </row>
    <row r="3">
      <c r="A3" t="inlineStr">
        <is>
          <t>λ1 × λ3 = Cov(CAL1,CAL3)</t>
        </is>
      </c>
      <c r="B3" t="n">
        <v>1.157894736842105</v>
      </c>
    </row>
    <row r="4">
      <c r="A4" t="inlineStr">
        <is>
          <t>λ2 × λ3 = Cov(CAL2,CAL3)</t>
        </is>
      </c>
      <c r="B4" t="n">
        <v>1.263157894736842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solucion_cerrada_lambda1_1</t>
        </is>
      </c>
      <c r="C1" s="1" t="inlineStr">
        <is>
          <t>semopy_estimado</t>
        </is>
      </c>
      <c r="D1" s="1" t="inlineStr">
        <is>
          <t>teoria_igual_DATA</t>
        </is>
      </c>
      <c r="E1" s="1" t="inlineStr">
        <is>
          <t>diferencia_cerrado_semopy</t>
        </is>
      </c>
    </row>
    <row r="2">
      <c r="A2" t="inlineStr">
        <is>
          <t>λ₁</t>
        </is>
      </c>
      <c r="B2" t="n">
        <v>1</v>
      </c>
      <c r="D2" t="inlineStr">
        <is>
          <t>Var(1)=2.1053 debe ser λ₁²+θ₁</t>
        </is>
      </c>
    </row>
    <row r="3">
      <c r="A3" t="inlineStr">
        <is>
          <t>θ₁</t>
        </is>
      </c>
      <c r="B3" t="n">
        <v>1.105263157894737</v>
      </c>
      <c r="C3" t="n">
        <v>0.2559938069249965</v>
      </c>
      <c r="D3" t="inlineStr">
        <is>
          <t>con λ₁=1 → θ₁=1.1053</t>
        </is>
      </c>
      <c r="E3" t="n">
        <v>0.8492693509697402</v>
      </c>
    </row>
    <row r="4">
      <c r="A4" t="inlineStr">
        <is>
          <t>λ₂</t>
        </is>
      </c>
      <c r="B4" t="n">
        <v>1.105263157894737</v>
      </c>
      <c r="D4" t="inlineStr">
        <is>
          <t>Cov=1.1053 debe ser λ₁λ₂</t>
        </is>
      </c>
    </row>
    <row r="5">
      <c r="A5" t="inlineStr">
        <is>
          <t>θ₂</t>
        </is>
      </c>
      <c r="B5" t="n">
        <v>0.8836565096952911</v>
      </c>
      <c r="C5" t="n">
        <v>1.420434537278578</v>
      </c>
      <c r="D5" t="inlineStr">
        <is>
          <t>Var(2)=2.1053 debe ser λ₂²+θ₂</t>
        </is>
      </c>
      <c r="E5" t="n">
        <v>0.536778027583287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variable_observada_V</t>
        </is>
      </c>
      <c r="C1" s="1" t="inlineStr">
        <is>
          <t>varianza_error</t>
        </is>
      </c>
      <c r="D1" s="1" t="inlineStr">
        <is>
          <t>tipo</t>
        </is>
      </c>
    </row>
    <row r="2">
      <c r="A2" t="inlineStr">
        <is>
          <t>E_CAL1</t>
        </is>
      </c>
      <c r="B2" t="inlineStr">
        <is>
          <t>CAL1</t>
        </is>
      </c>
      <c r="C2" t="n">
        <v>0.2559938069249965</v>
      </c>
      <c r="D2" t="inlineStr">
        <is>
          <t>Error de medida (E → V)</t>
        </is>
      </c>
    </row>
    <row r="3">
      <c r="A3" t="inlineStr">
        <is>
          <t>E_CAL2</t>
        </is>
      </c>
      <c r="B3" t="inlineStr">
        <is>
          <t>CAL2</t>
        </is>
      </c>
      <c r="C3" t="n">
        <v>1.420434537278578</v>
      </c>
      <c r="D3" t="inlineStr">
        <is>
          <t>Error de medida (E → V)</t>
        </is>
      </c>
    </row>
    <row r="4">
      <c r="A4" t="inlineStr">
        <is>
          <t>E_CAL3</t>
        </is>
      </c>
      <c r="B4" t="inlineStr">
        <is>
          <t>CAL3</t>
        </is>
      </c>
      <c r="C4" t="n">
        <v>1.327558136934401</v>
      </c>
      <c r="D4" t="inlineStr">
        <is>
          <t>Error de medida (E → V)</t>
        </is>
      </c>
    </row>
    <row r="5">
      <c r="A5" t="inlineStr">
        <is>
          <t>E_SAT1</t>
        </is>
      </c>
      <c r="B5" t="inlineStr">
        <is>
          <t>SAT1</t>
        </is>
      </c>
      <c r="C5" t="n">
        <v>0.4630321787521087</v>
      </c>
      <c r="D5" t="inlineStr">
        <is>
          <t>Error de medida (E → V)</t>
        </is>
      </c>
    </row>
    <row r="6">
      <c r="A6" t="inlineStr">
        <is>
          <t>E_SAT2</t>
        </is>
      </c>
      <c r="B6" t="inlineStr">
        <is>
          <t>SAT2</t>
        </is>
      </c>
      <c r="C6" t="n">
        <v>1.305591003318379</v>
      </c>
      <c r="D6" t="inlineStr">
        <is>
          <t>Error de medida (E → V)</t>
        </is>
      </c>
    </row>
    <row r="7">
      <c r="A7" t="inlineStr">
        <is>
          <t>E_SAT3</t>
        </is>
      </c>
      <c r="B7" t="inlineStr">
        <is>
          <t>SAT3</t>
        </is>
      </c>
      <c r="C7" t="n">
        <v>1.78132935661502</v>
      </c>
      <c r="D7" t="inlineStr">
        <is>
          <t>Error de medida (E → V)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factor_latente_F</t>
        </is>
      </c>
      <c r="C1" s="1" t="inlineStr">
        <is>
          <t>varianza_perturbacion</t>
        </is>
      </c>
      <c r="D1" s="1" t="inlineStr">
        <is>
          <t>tipo</t>
        </is>
      </c>
      <c r="E1" s="1" t="inlineStr">
        <is>
          <t>nota</t>
        </is>
      </c>
    </row>
    <row r="2">
      <c r="A2" t="inlineStr">
        <is>
          <t>D_Satisfaccion</t>
        </is>
      </c>
      <c r="B2" t="inlineStr">
        <is>
          <t>Satisfaccion</t>
        </is>
      </c>
      <c r="C2" t="n">
        <v>0.07391657957377637</v>
      </c>
      <c r="D2" t="inlineStr">
        <is>
          <t>Error estructural (D → F)</t>
        </is>
      </c>
      <c r="E2" t="inlineStr">
        <is>
          <t>Parte de F2 no explicada por F1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operacion</t>
        </is>
      </c>
      <c r="B1" s="1" t="inlineStr">
        <is>
          <t>lhs</t>
        </is>
      </c>
      <c r="C1" s="1" t="inlineStr">
        <is>
          <t>rhs</t>
        </is>
      </c>
      <c r="D1" s="1" t="inlineStr">
        <is>
          <t>estimado</t>
        </is>
      </c>
      <c r="E1" s="1" t="inlineStr">
        <is>
          <t>regla_sem</t>
        </is>
      </c>
      <c r="F1" s="1" t="inlineStr">
        <is>
          <t>es_parametro_libre</t>
        </is>
      </c>
    </row>
    <row r="2">
      <c r="A2" t="inlineStr">
        <is>
          <t>~</t>
        </is>
      </c>
      <c r="B2" t="inlineStr">
        <is>
          <t>Satisfaccion</t>
        </is>
      </c>
      <c r="C2" t="inlineStr">
        <is>
          <t>Calidad</t>
        </is>
      </c>
      <c r="D2" t="n">
        <v>0.9208861037339868</v>
      </c>
      <c r="E2" t="inlineStr">
        <is>
          <t>Regla 4 (regresión)</t>
        </is>
      </c>
      <c r="F2" t="inlineStr">
        <is>
          <t>Sí</t>
        </is>
      </c>
    </row>
    <row r="3">
      <c r="A3" t="inlineStr">
        <is>
          <t>~</t>
        </is>
      </c>
      <c r="B3" t="inlineStr">
        <is>
          <t>CAL1</t>
        </is>
      </c>
      <c r="C3" t="inlineStr">
        <is>
          <t>Calidad</t>
        </is>
      </c>
      <c r="D3" t="n">
        <v>1</v>
      </c>
      <c r="E3" t="inlineStr">
        <is>
          <t>Regla 4 (regresión)</t>
        </is>
      </c>
      <c r="F3" t="inlineStr">
        <is>
          <t>Sí</t>
        </is>
      </c>
    </row>
    <row r="4">
      <c r="A4" t="inlineStr">
        <is>
          <t>~</t>
        </is>
      </c>
      <c r="B4" t="inlineStr">
        <is>
          <t>CAL2</t>
        </is>
      </c>
      <c r="C4" t="inlineStr">
        <is>
          <t>Calidad</t>
        </is>
      </c>
      <c r="D4" t="n">
        <v>0.6082638220995854</v>
      </c>
      <c r="E4" t="inlineStr">
        <is>
          <t>Regla 4 (regresión)</t>
        </is>
      </c>
      <c r="F4" t="inlineStr">
        <is>
          <t>Sí</t>
        </is>
      </c>
    </row>
    <row r="5">
      <c r="A5" t="inlineStr">
        <is>
          <t>~</t>
        </is>
      </c>
      <c r="B5" t="inlineStr">
        <is>
          <t>CAL3</t>
        </is>
      </c>
      <c r="C5" t="inlineStr">
        <is>
          <t>Calidad</t>
        </is>
      </c>
      <c r="D5" t="n">
        <v>0.6485256363921466</v>
      </c>
      <c r="E5" t="inlineStr">
        <is>
          <t>Regla 4 (regresión)</t>
        </is>
      </c>
      <c r="F5" t="inlineStr">
        <is>
          <t>Sí</t>
        </is>
      </c>
    </row>
    <row r="6">
      <c r="A6" t="inlineStr">
        <is>
          <t>~</t>
        </is>
      </c>
      <c r="B6" t="inlineStr">
        <is>
          <t>SAT1</t>
        </is>
      </c>
      <c r="C6" t="inlineStr">
        <is>
          <t>Satisfaccion</t>
        </is>
      </c>
      <c r="D6" t="n">
        <v>1</v>
      </c>
      <c r="E6" t="inlineStr">
        <is>
          <t>Regla 4 (regresión)</t>
        </is>
      </c>
      <c r="F6" t="inlineStr">
        <is>
          <t>Sí</t>
        </is>
      </c>
    </row>
    <row r="7">
      <c r="A7" t="inlineStr">
        <is>
          <t>~</t>
        </is>
      </c>
      <c r="B7" t="inlineStr">
        <is>
          <t>SAT2</t>
        </is>
      </c>
      <c r="C7" t="inlineStr">
        <is>
          <t>Satisfaccion</t>
        </is>
      </c>
      <c r="D7" t="n">
        <v>0.6975685158085183</v>
      </c>
      <c r="E7" t="inlineStr">
        <is>
          <t>Regla 4 (regresión)</t>
        </is>
      </c>
      <c r="F7" t="inlineStr">
        <is>
          <t>Sí</t>
        </is>
      </c>
    </row>
    <row r="8">
      <c r="A8" t="inlineStr">
        <is>
          <t>~</t>
        </is>
      </c>
      <c r="B8" t="inlineStr">
        <is>
          <t>SAT3</t>
        </is>
      </c>
      <c r="C8" t="inlineStr">
        <is>
          <t>Satisfaccion</t>
        </is>
      </c>
      <c r="D8" t="n">
        <v>0.4443737520004934</v>
      </c>
      <c r="E8" t="inlineStr">
        <is>
          <t>Regla 4 (regresión)</t>
        </is>
      </c>
      <c r="F8" t="inlineStr">
        <is>
          <t>Sí</t>
        </is>
      </c>
    </row>
    <row r="9">
      <c r="A9" t="inlineStr">
        <is>
          <t>~~</t>
        </is>
      </c>
      <c r="B9" t="inlineStr">
        <is>
          <t>Calidad</t>
        </is>
      </c>
      <c r="C9" t="inlineStr">
        <is>
          <t>Calidad</t>
        </is>
      </c>
      <c r="D9" t="n">
        <v>1.849786144839741</v>
      </c>
      <c r="E9" t="inlineStr">
        <is>
          <t>Regla 1/2 (varianza o covarianza exógena)</t>
        </is>
      </c>
      <c r="F9" t="inlineStr">
        <is>
          <t>Sí</t>
        </is>
      </c>
    </row>
    <row r="10">
      <c r="A10" t="inlineStr">
        <is>
          <t>~~</t>
        </is>
      </c>
      <c r="B10" t="inlineStr">
        <is>
          <t>Satisfaccion</t>
        </is>
      </c>
      <c r="C10" t="inlineStr">
        <is>
          <t>Satisfaccion</t>
        </is>
      </c>
      <c r="D10" t="n">
        <v>0.07391657957377637</v>
      </c>
      <c r="E10" t="inlineStr">
        <is>
          <t>Regla 1/2 (varianza o covarianza exógena)</t>
        </is>
      </c>
      <c r="F10" t="inlineStr">
        <is>
          <t>Sí</t>
        </is>
      </c>
    </row>
    <row r="11">
      <c r="A11" t="inlineStr">
        <is>
          <t>~~</t>
        </is>
      </c>
      <c r="B11" t="inlineStr">
        <is>
          <t>CAL1</t>
        </is>
      </c>
      <c r="C11" t="inlineStr">
        <is>
          <t>CAL1</t>
        </is>
      </c>
      <c r="D11" t="n">
        <v>0.2559938069249965</v>
      </c>
      <c r="E11" t="inlineStr">
        <is>
          <t>Regla 1/2 (varianza o covarianza exógena)</t>
        </is>
      </c>
      <c r="F11" t="inlineStr">
        <is>
          <t>Sí</t>
        </is>
      </c>
    </row>
    <row r="12">
      <c r="A12" t="inlineStr">
        <is>
          <t>~~</t>
        </is>
      </c>
      <c r="B12" t="inlineStr">
        <is>
          <t>CAL2</t>
        </is>
      </c>
      <c r="C12" t="inlineStr">
        <is>
          <t>CAL2</t>
        </is>
      </c>
      <c r="D12" t="n">
        <v>1.420434537278578</v>
      </c>
      <c r="E12" t="inlineStr">
        <is>
          <t>Regla 1/2 (varianza o covarianza exógena)</t>
        </is>
      </c>
      <c r="F12" t="inlineStr">
        <is>
          <t>Sí</t>
        </is>
      </c>
    </row>
    <row r="13">
      <c r="A13" t="inlineStr">
        <is>
          <t>~~</t>
        </is>
      </c>
      <c r="B13" t="inlineStr">
        <is>
          <t>CAL3</t>
        </is>
      </c>
      <c r="C13" t="inlineStr">
        <is>
          <t>CAL3</t>
        </is>
      </c>
      <c r="D13" t="n">
        <v>1.327558136934401</v>
      </c>
      <c r="E13" t="inlineStr">
        <is>
          <t>Regla 1/2 (varianza o covarianza exógena)</t>
        </is>
      </c>
      <c r="F13" t="inlineStr">
        <is>
          <t>Sí</t>
        </is>
      </c>
    </row>
    <row r="14">
      <c r="A14" t="inlineStr">
        <is>
          <t>~~</t>
        </is>
      </c>
      <c r="B14" t="inlineStr">
        <is>
          <t>SAT1</t>
        </is>
      </c>
      <c r="C14" t="inlineStr">
        <is>
          <t>SAT1</t>
        </is>
      </c>
      <c r="D14" t="n">
        <v>0.4630321787521087</v>
      </c>
      <c r="E14" t="inlineStr">
        <is>
          <t>Regla 1/2 (varianza o covarianza exógena)</t>
        </is>
      </c>
      <c r="F14" t="inlineStr">
        <is>
          <t>Sí</t>
        </is>
      </c>
    </row>
    <row r="15">
      <c r="A15" t="inlineStr">
        <is>
          <t>~~</t>
        </is>
      </c>
      <c r="B15" t="inlineStr">
        <is>
          <t>SAT2</t>
        </is>
      </c>
      <c r="C15" t="inlineStr">
        <is>
          <t>SAT2</t>
        </is>
      </c>
      <c r="D15" t="n">
        <v>1.305591003318379</v>
      </c>
      <c r="E15" t="inlineStr">
        <is>
          <t>Regla 1/2 (varianza o covarianza exógena)</t>
        </is>
      </c>
      <c r="F15" t="inlineStr">
        <is>
          <t>Sí</t>
        </is>
      </c>
    </row>
    <row r="16">
      <c r="A16" t="inlineStr">
        <is>
          <t>~~</t>
        </is>
      </c>
      <c r="B16" t="inlineStr">
        <is>
          <t>SAT3</t>
        </is>
      </c>
      <c r="C16" t="inlineStr">
        <is>
          <t>SAT3</t>
        </is>
      </c>
      <c r="D16" t="n">
        <v>1.78132935661502</v>
      </c>
      <c r="E16" t="inlineStr">
        <is>
          <t>Regla 1/2 (varianza o covarianza exógena)</t>
        </is>
      </c>
      <c r="F16" t="inlineStr">
        <is>
          <t>Sí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  <c r="C1" s="1" t="inlineStr">
        <is>
          <t>formula</t>
        </is>
      </c>
    </row>
    <row r="2">
      <c r="A2" t="inlineStr">
        <is>
          <t>p (variables observadas en S)</t>
        </is>
      </c>
      <c r="B2" t="n">
        <v>6</v>
      </c>
      <c r="C2" t="inlineStr">
        <is>
          <t>ítems en Matriz_Covarianzas</t>
        </is>
      </c>
    </row>
    <row r="3">
      <c r="A3" t="inlineStr">
        <is>
          <t>Varianzas en S (diagonal)</t>
        </is>
      </c>
      <c r="B3" t="n">
        <v>6</v>
      </c>
      <c r="C3" t="inlineStr">
        <is>
          <t>p = 6</t>
        </is>
      </c>
    </row>
    <row r="4">
      <c r="A4" t="inlineStr">
        <is>
          <t>Covarianzas únicas en S</t>
        </is>
      </c>
      <c r="B4" t="n">
        <v>15</v>
      </c>
      <c r="C4" t="inlineStr">
        <is>
          <t>p×(p−1)/2 = 6×5/2 = 15</t>
        </is>
      </c>
    </row>
    <row r="5">
      <c r="A5" t="inlineStr">
        <is>
          <t>Momentos únicos (matriz S completa)</t>
        </is>
      </c>
      <c r="B5" t="n">
        <v>21</v>
      </c>
      <c r="C5" t="inlineStr">
        <is>
          <t>6×7/2 = 21</t>
        </is>
      </c>
    </row>
    <row r="6">
      <c r="A6" t="inlineStr">
        <is>
          <t>Parámetros libres estimados (t)</t>
        </is>
      </c>
      <c r="B6" t="n">
        <v>13</v>
      </c>
      <c r="C6" t="inlineStr">
        <is>
          <t>Reglas 1–4 y 6 (semopy)</t>
        </is>
      </c>
    </row>
    <row r="7">
      <c r="A7" t="inlineStr">
        <is>
          <t>Grados de libertad (GL)</t>
        </is>
      </c>
      <c r="B7" t="n">
        <v>8</v>
      </c>
      <c r="C7" t="inlineStr">
        <is>
          <t>p×(p+1)/2 − t = 21 − 13 = 8</t>
        </is>
      </c>
    </row>
    <row r="8">
      <c r="A8" t="inlineStr">
        <is>
          <t>Estado de identificación</t>
        </is>
      </c>
      <c r="B8" t="inlineStr">
        <is>
          <t>Sobreidentificado</t>
        </is>
      </c>
      <c r="C8" t="inlineStr">
        <is>
          <t>GL&lt;0 subidentificado; GL=0 exacto; GL&gt;0 sobreidentificado</t>
        </is>
      </c>
    </row>
    <row r="9">
      <c r="A9" t="inlineStr">
        <is>
          <t>Equilibrio GL / momentos</t>
        </is>
      </c>
      <c r="B9" t="inlineStr">
        <is>
          <t>Equilibrado</t>
        </is>
      </c>
      <c r="C9" t="inlineStr">
        <is>
          <t>ratio GL/momentos = 8/21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Estadística</t>
        </is>
      </c>
      <c r="B1" s="1" t="inlineStr">
        <is>
          <t>Valor</t>
        </is>
      </c>
    </row>
    <row r="2">
      <c r="A2" t="inlineStr">
        <is>
          <t>--- Regresión: Satisfaccion = a + b·Calidad (n=20) ---</t>
        </is>
      </c>
      <c r="B2" t="inlineStr"/>
    </row>
    <row r="3">
      <c r="A3" t="inlineStr">
        <is>
          <t>Coeficiente de correlación múltiple</t>
        </is>
      </c>
      <c r="B3" t="n">
        <v>0.7921725591063289</v>
      </c>
    </row>
    <row r="4">
      <c r="A4" t="inlineStr">
        <is>
          <t>Coeficiente de determinación R²</t>
        </is>
      </c>
      <c r="B4" t="n">
        <v>0.6275373634010699</v>
      </c>
    </row>
    <row r="5">
      <c r="A5" t="inlineStr">
        <is>
          <t>R² ajustado</t>
        </is>
      </c>
      <c r="B5" t="n">
        <v>0.6068449947011294</v>
      </c>
    </row>
    <row r="6">
      <c r="A6" t="inlineStr">
        <is>
          <t>Error típico</t>
        </is>
      </c>
      <c r="B6" t="n">
        <v>0.6433097030193241</v>
      </c>
    </row>
    <row r="7">
      <c r="A7" t="inlineStr">
        <is>
          <t>Observaciones</t>
        </is>
      </c>
      <c r="B7" t="n">
        <v>20</v>
      </c>
    </row>
    <row r="8">
      <c r="A8" t="inlineStr">
        <is>
          <t>Interpretación R²</t>
        </is>
      </c>
      <c r="B8" t="inlineStr">
        <is>
          <t>Capacidad del modelo para explicar Y; qué tan bien los datos se ajustan</t>
        </is>
      </c>
    </row>
    <row r="9">
      <c r="A9" t="inlineStr"/>
      <c r="B9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gl</t>
        </is>
      </c>
      <c r="C1" s="1" t="inlineStr">
        <is>
          <t>Suma_cuadrados</t>
        </is>
      </c>
      <c r="D1" s="1" t="inlineStr">
        <is>
          <t>Promedio_cuadrados</t>
        </is>
      </c>
      <c r="E1" s="1" t="inlineStr">
        <is>
          <t>F</t>
        </is>
      </c>
      <c r="F1" s="1" t="inlineStr">
        <is>
          <t>Valor_critico_F</t>
        </is>
      </c>
    </row>
    <row r="2">
      <c r="A2" t="inlineStr">
        <is>
          <t>--- Regresión: Satisfaccion = a + b·Calidad (n=20) ---</t>
        </is>
      </c>
      <c r="B2" t="inlineStr"/>
      <c r="C2" t="inlineStr"/>
      <c r="D2" t="inlineStr"/>
      <c r="E2" t="inlineStr"/>
      <c r="F2" t="inlineStr"/>
    </row>
    <row r="3">
      <c r="A3" t="inlineStr">
        <is>
          <t>Regresión</t>
        </is>
      </c>
      <c r="B3" t="n">
        <v>1</v>
      </c>
      <c r="C3" t="n">
        <v>12.55074726802139</v>
      </c>
      <c r="D3" t="n">
        <v>12.55074726802139</v>
      </c>
      <c r="E3" t="n">
        <v>30.3269950628162</v>
      </c>
      <c r="F3" t="n">
        <v>3.141052103561369e-05</v>
      </c>
    </row>
    <row r="4">
      <c r="A4" t="inlineStr">
        <is>
          <t>Residuos</t>
        </is>
      </c>
      <c r="B4" t="n">
        <v>18</v>
      </c>
      <c r="C4" t="n">
        <v>7.449252731978599</v>
      </c>
      <c r="D4" t="n">
        <v>0.4138473739988111</v>
      </c>
      <c r="E4" t="inlineStr"/>
      <c r="F4" t="inlineStr"/>
    </row>
    <row r="5">
      <c r="A5" t="inlineStr">
        <is>
          <t>Total</t>
        </is>
      </c>
      <c r="B5" t="n">
        <v>19</v>
      </c>
      <c r="C5" t="n">
        <v>19.99999999999999</v>
      </c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rol</t>
        </is>
      </c>
      <c r="C1" s="1" t="inlineStr">
        <is>
          <t>Coeficientes</t>
        </is>
      </c>
      <c r="D1" s="1" t="inlineStr">
        <is>
          <t>Error_tipico</t>
        </is>
      </c>
      <c r="E1" s="1" t="inlineStr">
        <is>
          <t>Estadistico_t</t>
        </is>
      </c>
      <c r="F1" s="1" t="inlineStr">
        <is>
          <t>Probabilidad</t>
        </is>
      </c>
      <c r="G1" s="1" t="inlineStr">
        <is>
          <t>Inferior_95</t>
        </is>
      </c>
      <c r="H1" s="1" t="inlineStr">
        <is>
          <t>Superior_95</t>
        </is>
      </c>
      <c r="I1" s="1" t="inlineStr">
        <is>
          <t>robusto_alpha_005</t>
        </is>
      </c>
      <c r="J1" s="1" t="inlineStr">
        <is>
          <t>nota</t>
        </is>
      </c>
    </row>
    <row r="2">
      <c r="A2" t="inlineStr">
        <is>
          <t>--- Regresión: Satisfaccion = a + b·Calidad (n=20)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Intercepción (a)</t>
        </is>
      </c>
      <c r="B3" t="inlineStr">
        <is>
          <t>intercepto_a</t>
        </is>
      </c>
      <c r="C3" t="n">
        <v>3.270291741361138e-18</v>
      </c>
      <c r="D3" t="n">
        <v>0.1438484226536411</v>
      </c>
      <c r="E3" t="n">
        <v>2.273428989371237e-17</v>
      </c>
      <c r="F3" t="n">
        <v>1</v>
      </c>
      <c r="G3" t="n">
        <v>-0.3022143216069315</v>
      </c>
      <c r="H3" t="n">
        <v>0.3022143216069315</v>
      </c>
      <c r="I3" t="inlineStr">
        <is>
          <t>No</t>
        </is>
      </c>
      <c r="J3" t="inlineStr">
        <is>
          <t>Término constante en Y = a + b·X</t>
        </is>
      </c>
    </row>
    <row r="4">
      <c r="A4" t="inlineStr">
        <is>
          <t>Calidad (pendiente b)</t>
        </is>
      </c>
      <c r="B4" t="inlineStr">
        <is>
          <t>pendiente_b</t>
        </is>
      </c>
      <c r="C4" t="n">
        <v>0.7921725591063289</v>
      </c>
      <c r="D4" t="n">
        <v>0.1438484226536411</v>
      </c>
      <c r="E4" t="n">
        <v>5.506995102850212</v>
      </c>
      <c r="F4" t="n">
        <v>3.141052103561365e-05</v>
      </c>
      <c r="G4" t="n">
        <v>0.4899582374993973</v>
      </c>
      <c r="H4" t="n">
        <v>1.09438688071326</v>
      </c>
      <c r="I4" t="inlineStr">
        <is>
          <t>Sí</t>
        </is>
      </c>
      <c r="J4" t="inlineStr">
        <is>
          <t>Coeficiente de interés: efecto de X sobre Y (|t|&gt;1,96 → robusto al 5%)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descripcion</t>
        </is>
      </c>
    </row>
    <row r="2">
      <c r="A2" t="inlineStr">
        <is>
          <t>Ecuación</t>
        </is>
      </c>
      <c r="B2" t="inlineStr">
        <is>
          <t>Y = a + b·X (ej. Satisfaccion = 0,98 + 1,01·Calidad)</t>
        </is>
      </c>
    </row>
    <row r="3">
      <c r="A3" t="inlineStr">
        <is>
          <t>R²</t>
        </is>
      </c>
      <c r="B3" t="inlineStr">
        <is>
          <t>R²: proporción de varianza de Y explicada por el modelo</t>
        </is>
      </c>
    </row>
    <row r="4">
      <c r="A4" t="inlineStr">
        <is>
          <t>Pendiente b</t>
        </is>
      </c>
      <c r="B4" t="inlineStr">
        <is>
          <t>b: cambio en Y por cada unidad de X; hipótesis principal</t>
        </is>
      </c>
    </row>
    <row r="5">
      <c r="A5" t="inlineStr">
        <is>
          <t>Significancia</t>
        </is>
      </c>
      <c r="B5" t="inlineStr">
        <is>
          <t>Robusto al 5% si |t| &gt; 1,96 (aprox.) en Regresion_Coeficientes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fase_smartpls</t>
        </is>
      </c>
      <c r="B1" s="1" t="inlineStr">
        <is>
          <t>que_hace</t>
        </is>
      </c>
      <c r="C1" s="1" t="inlineStr">
        <is>
          <t>sem_tool</t>
        </is>
      </c>
      <c r="D1" s="1" t="inlineStr">
        <is>
          <t>salida_excel</t>
        </is>
      </c>
    </row>
    <row r="2">
      <c r="A2" t="inlineStr">
        <is>
          <t>1. Datos</t>
        </is>
      </c>
      <c r="B2" t="inlineStr">
        <is>
          <t>Importar variables métricas (Likert, etc.)</t>
        </is>
      </c>
      <c r="C2" t="inlineStr">
        <is>
          <t>Hoja Datos + sem-tool descriptivos</t>
        </is>
      </c>
      <c r="D2" t="inlineStr">
        <is>
          <t>Descriptivos, Matriz_Covarianzas</t>
        </is>
      </c>
    </row>
    <row r="3">
      <c r="A3" t="inlineStr">
        <is>
          <t>2. Modelo</t>
        </is>
      </c>
      <c r="B3" t="inlineStr">
        <is>
          <t>Diagrama: constructos, indicadores, rutas</t>
        </is>
      </c>
      <c r="C3" t="inlineStr">
        <is>
          <t>Hoja Modelo_PLS (constructo, indicador, modo, rutas)</t>
        </is>
      </c>
      <c r="D3" t="inlineStr">
        <is>
          <t>Diagrama_SEM, Hipotesis (opcional)</t>
        </is>
      </c>
    </row>
    <row r="4">
      <c r="A4" t="inlineStr">
        <is>
          <t>3. Estimación PLS</t>
        </is>
      </c>
      <c r="B4" t="inlineStr">
        <is>
          <t>Algoritmo PLS (varianza explicada, no χ² global)</t>
        </is>
      </c>
      <c r="C4" t="inlineStr">
        <is>
          <t>sem-tool pls</t>
        </is>
      </c>
      <c r="D4" t="inlineStr">
        <is>
          <t>Outer_Loadings, Paths</t>
        </is>
      </c>
    </row>
    <row r="5">
      <c r="A5" t="inlineStr">
        <is>
          <t>4. Bootstrapping</t>
        </is>
      </c>
      <c r="B5" t="inlineStr">
        <is>
          <t>Significancia de cargas y rutas (p. ej. 5000)</t>
        </is>
      </c>
      <c r="C5" t="inlineStr">
        <is>
          <t>sem-tool pls --bootstraps 5000 --processes 2</t>
        </is>
      </c>
      <c r="D5" t="inlineStr">
        <is>
          <t>Bootstraps</t>
        </is>
      </c>
    </row>
    <row r="6">
      <c r="A6" t="inlineStr">
        <is>
          <t>5. Calidad de medida</t>
        </is>
      </c>
      <c r="B6" t="inlineStr">
        <is>
          <t>Cargas externas, AVE, CR, discriminant validity</t>
        </is>
      </c>
      <c r="C6" t="inlineStr">
        <is>
          <t>Métricas automáticas</t>
        </is>
      </c>
      <c r="D6" t="inlineStr">
        <is>
          <t>AVE_CR, Fornell_Larcker, HTMT, VIF</t>
        </is>
      </c>
    </row>
    <row r="7">
      <c r="A7" t="inlineStr">
        <is>
          <t>6. Modelo estructural</t>
        </is>
      </c>
      <c r="B7" t="inlineStr">
        <is>
          <t>Coeficientes de ruta, R², efectos f²</t>
        </is>
      </c>
      <c r="C7" t="inlineStr">
        <is>
          <t>Paths + regresión sobre scores</t>
        </is>
      </c>
      <c r="D7" t="inlineStr">
        <is>
          <t>Paths, R2, Efectos_f2, Regresion_Structural, Regresion_*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</t>
        </is>
      </c>
      <c r="B1" s="1" t="inlineStr">
        <is>
          <t>loading</t>
        </is>
      </c>
      <c r="C1" s="1" t="inlineStr">
        <is>
          <t>communality</t>
        </is>
      </c>
      <c r="D1" s="1" t="inlineStr">
        <is>
          <t>redundancy</t>
        </is>
      </c>
    </row>
    <row r="2">
      <c r="A2" t="n">
        <v>0.467768404553485</v>
      </c>
      <c r="B2" t="n">
        <v>0.860425765276473</v>
      </c>
      <c r="C2" t="n">
        <v>0.7403324975516041</v>
      </c>
      <c r="D2" t="n">
        <v>0</v>
      </c>
    </row>
    <row r="3">
      <c r="A3" t="n">
        <v>0.3613642649199278</v>
      </c>
      <c r="B3" t="n">
        <v>0.8259398001120317</v>
      </c>
      <c r="C3" t="n">
        <v>0.6821765534091029</v>
      </c>
      <c r="D3" t="n">
        <v>0</v>
      </c>
    </row>
    <row r="4">
      <c r="A4" t="n">
        <v>0.3357654135065424</v>
      </c>
      <c r="B4" t="n">
        <v>0.8274260279874631</v>
      </c>
      <c r="C4" t="n">
        <v>0.6846338317911101</v>
      </c>
      <c r="D4" t="n">
        <v>0</v>
      </c>
    </row>
    <row r="5">
      <c r="A5" t="n">
        <v>0.5122688345034816</v>
      </c>
      <c r="B5" t="n">
        <v>0.8415736821170022</v>
      </c>
      <c r="C5" t="n">
        <v>0.7082462624319691</v>
      </c>
      <c r="D5" t="n">
        <v>0.4444509921652202</v>
      </c>
    </row>
    <row r="6">
      <c r="A6" t="n">
        <v>0.3652804164492659</v>
      </c>
      <c r="B6" t="n">
        <v>0.7919770496098845</v>
      </c>
      <c r="C6" t="n">
        <v>0.6272276471087774</v>
      </c>
      <c r="D6" t="n">
        <v>0.393608783918899</v>
      </c>
    </row>
    <row r="7">
      <c r="A7" t="n">
        <v>0.4100744696704682</v>
      </c>
      <c r="B7" t="n">
        <v>0.630033084112616</v>
      </c>
      <c r="C7" t="n">
        <v>0.3969416870764547</v>
      </c>
      <c r="D7" t="n">
        <v>0.249095739731931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origen</t>
        </is>
      </c>
      <c r="C1" s="1" t="inlineStr">
        <is>
          <t>destino</t>
        </is>
      </c>
      <c r="D1" s="1" t="inlineStr">
        <is>
          <t>coeficiente</t>
        </is>
      </c>
    </row>
    <row r="2">
      <c r="A2" s="1" t="n">
        <v>0</v>
      </c>
      <c r="B2" t="inlineStr">
        <is>
          <t>Calidad</t>
        </is>
      </c>
      <c r="C2" t="inlineStr">
        <is>
          <t>Satisfaccion</t>
        </is>
      </c>
      <c r="D2" t="n">
        <v>0.7921725591063287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mean</t>
        </is>
      </c>
      <c r="C1" s="1" t="inlineStr">
        <is>
          <t>std.error</t>
        </is>
      </c>
      <c r="D1" s="1" t="inlineStr">
        <is>
          <t>perc.025</t>
        </is>
      </c>
      <c r="E1" s="1" t="inlineStr">
        <is>
          <t>perc.975</t>
        </is>
      </c>
      <c r="F1" s="1" t="inlineStr">
        <is>
          <t>t stat.</t>
        </is>
      </c>
    </row>
    <row r="2">
      <c r="A2" t="n">
        <v>0.7921725591063287</v>
      </c>
      <c r="B2" t="n">
        <v>0.8168099880076392</v>
      </c>
      <c r="C2" t="n">
        <v>0.06320842205427568</v>
      </c>
      <c r="D2" t="n">
        <v>0.698646048263632</v>
      </c>
      <c r="E2" t="n">
        <v>0.9261996276939153</v>
      </c>
      <c r="F2" t="n">
        <v>12.5327058224315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tipo_lv</t>
        </is>
      </c>
      <c r="C1" s="1" t="inlineStr">
        <is>
          <t>r_squared</t>
        </is>
      </c>
      <c r="D1" s="1" t="inlineStr">
        <is>
          <t>r_squared_adj</t>
        </is>
      </c>
      <c r="E1" s="1" t="inlineStr">
        <is>
          <t>block_communality</t>
        </is>
      </c>
      <c r="F1" s="1" t="inlineStr">
        <is>
          <t>mean_redundancy</t>
        </is>
      </c>
      <c r="G1" s="1" t="inlineStr">
        <is>
          <t>ave</t>
        </is>
      </c>
    </row>
    <row r="2">
      <c r="A2" s="1" t="inlineStr">
        <is>
          <t>Calidad</t>
        </is>
      </c>
      <c r="B2" t="inlineStr">
        <is>
          <t>Exogenous</t>
        </is>
      </c>
      <c r="C2" t="n">
        <v>0</v>
      </c>
      <c r="D2" t="n">
        <v>0</v>
      </c>
      <c r="E2" t="n">
        <v>0.7023809609172723</v>
      </c>
      <c r="F2" t="n">
        <v>0</v>
      </c>
      <c r="G2" t="n">
        <v>0.7023809609172723</v>
      </c>
    </row>
    <row r="3">
      <c r="A3" s="1" t="inlineStr">
        <is>
          <t>Satisfaccion</t>
        </is>
      </c>
      <c r="B3" t="inlineStr">
        <is>
          <t>Endogenous</t>
        </is>
      </c>
      <c r="C3" t="n">
        <v>0.62753736340107</v>
      </c>
      <c r="D3" t="n">
        <v>0.6068449947011294</v>
      </c>
      <c r="E3" t="n">
        <v>0.5774718655390672</v>
      </c>
      <c r="F3" t="n">
        <v>0.3623851719386834</v>
      </c>
      <c r="G3" t="n">
        <v>0.5774718655390672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constructo_endogeno</t>
        </is>
      </c>
      <c r="B1" s="1" t="inlineStr">
        <is>
          <t>R2</t>
        </is>
      </c>
      <c r="C1" s="1" t="inlineStr">
        <is>
          <t>f2</t>
        </is>
      </c>
      <c r="D1" s="1" t="inlineStr">
        <is>
          <t>tamano_efecto</t>
        </is>
      </c>
    </row>
    <row r="2">
      <c r="A2" t="inlineStr">
        <is>
          <t>Calidad</t>
        </is>
      </c>
      <c r="B2" t="n">
        <v>0</v>
      </c>
      <c r="C2" t="inlineStr"/>
      <c r="D2" t="inlineStr"/>
    </row>
    <row r="3">
      <c r="A3" t="inlineStr">
        <is>
          <t>Satisfaccion</t>
        </is>
      </c>
      <c r="B3" t="n">
        <v>0.62753736340107</v>
      </c>
      <c r="C3" t="n">
        <v>1.684833059045346</v>
      </c>
      <c r="D3" t="inlineStr">
        <is>
          <t>large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</t>
        </is>
      </c>
      <c r="B1" s="1" t="inlineStr">
        <is>
          <t>AVE</t>
        </is>
      </c>
      <c r="C1" s="1" t="inlineStr">
        <is>
          <t>CR</t>
        </is>
      </c>
      <c r="D1" s="1" t="inlineStr">
        <is>
          <t>n_indicadores</t>
        </is>
      </c>
    </row>
    <row r="2">
      <c r="A2" t="inlineStr">
        <is>
          <t>Calidad</t>
        </is>
      </c>
      <c r="B2" t="n">
        <v>0.7023809609172723</v>
      </c>
      <c r="C2" t="n">
        <v>0.876198493889512</v>
      </c>
      <c r="D2" t="n">
        <v>3</v>
      </c>
    </row>
    <row r="3">
      <c r="A3" t="inlineStr">
        <is>
          <t>Satisfaccion</t>
        </is>
      </c>
      <c r="B3" t="n">
        <v>0.5774718655390672</v>
      </c>
      <c r="C3" t="n">
        <v>0.8016733144686045</v>
      </c>
      <c r="D3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Calidad</t>
        </is>
      </c>
      <c r="C1" s="1" t="inlineStr">
        <is>
          <t>Satisfaccion</t>
        </is>
      </c>
    </row>
    <row r="2">
      <c r="A2" s="1" t="inlineStr">
        <is>
          <t>Calidad</t>
        </is>
      </c>
      <c r="B2" t="n">
        <v>0.8380817149402988</v>
      </c>
      <c r="C2" t="n">
        <v>0.7921725591063288</v>
      </c>
    </row>
    <row r="3">
      <c r="A3" s="1" t="inlineStr">
        <is>
          <t>Satisfaccion</t>
        </is>
      </c>
      <c r="B3" t="n">
        <v>0.7921725591063288</v>
      </c>
      <c r="C3" t="n">
        <v>0.7599156963368154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Calidad</t>
        </is>
      </c>
      <c r="C1" s="1" t="inlineStr">
        <is>
          <t>Satisfaccion</t>
        </is>
      </c>
    </row>
    <row r="2">
      <c r="A2" s="1" t="inlineStr">
        <is>
          <t>Calidad</t>
        </is>
      </c>
      <c r="B2" t="inlineStr"/>
      <c r="C2" t="n">
        <v>1.086788826822139</v>
      </c>
    </row>
    <row r="3">
      <c r="A3" s="1" t="inlineStr">
        <is>
          <t>Satisfaccion</t>
        </is>
      </c>
      <c r="B3" t="n">
        <v>1.086788826822139</v>
      </c>
      <c r="C3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2026-05-23T20:50:13Z</dcterms:created>
  <dcterms:modified xmlns:dcterms="http://purl.org/dc/terms/" xmlns:xsi="http://www.w3.org/2001/XMLSchema-instance" xsi:type="dcterms:W3CDTF">2026-05-23T20:51:37Z</dcterms:modified>
</cp:coreProperties>
</file>